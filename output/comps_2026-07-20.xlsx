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BCA" sheetId="2" state="visible" r:id="rId2"/>
    <sheet xmlns:r="http://schemas.openxmlformats.org/officeDocument/2006/relationships" name="BBRI" sheetId="3" state="visible" r:id="rId3"/>
    <sheet xmlns:r="http://schemas.openxmlformats.org/officeDocument/2006/relationships" name="BMRI" sheetId="4" state="visible" r:id="rId4"/>
    <sheet xmlns:r="http://schemas.openxmlformats.org/officeDocument/2006/relationships" name="BBNI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&quot;x&quot;"/>
    <numFmt numFmtId="166" formatCode="0.0&quot;%&quot;"/>
    <numFmt numFmtId="167" formatCode="0.00&quot;%&quot;"/>
    <numFmt numFmtId="168" formatCode="+#,##0.0;-#,##0.0;0.0"/>
  </numFmts>
  <fonts count="8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C00000"/>
      <sz val="9"/>
    </font>
    <font>
      <name val="Calibri"/>
      <b val="1"/>
      <color rgb="00FFFFFF"/>
      <sz val="9"/>
    </font>
    <font>
      <name val="Calibri"/>
      <b val="1"/>
      <sz val="10"/>
    </font>
    <font>
      <name val="Calibri"/>
      <sz val="10"/>
    </font>
    <font>
      <name val="Calibri"/>
      <color rgb="00808080"/>
      <sz val="9"/>
    </font>
    <font>
      <name val="Calibri"/>
      <b val="1"/>
      <color rgb="001F3864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9"/>
      </patternFill>
    </fill>
  </fills>
  <borders count="3">
    <border>
      <left/>
      <right/>
      <top/>
      <bottom/>
      <diagonal/>
    </border>
    <border>
      <top style="medium">
        <color rgb="001F3864"/>
      </top>
    </border>
    <border>
      <bottom style="thin">
        <color rgb="00D9D9D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2" pivotButton="0" quotePrefix="0" xfId="0"/>
    <xf numFmtId="0" fontId="5" fillId="0" borderId="2" pivotButton="0" quotePrefix="0" xfId="0"/>
    <xf numFmtId="3" fontId="5" fillId="0" borderId="2" pivotButton="0" quotePrefix="0" xfId="0"/>
    <xf numFmtId="164" fontId="5" fillId="0" borderId="2" pivotButton="0" quotePrefix="0" xfId="0"/>
    <xf numFmtId="165" fontId="5" fillId="0" borderId="2" pivotButton="0" quotePrefix="0" xfId="0"/>
    <xf numFmtId="166" fontId="5" fillId="0" borderId="2" pivotButton="0" quotePrefix="0" xfId="0"/>
    <xf numFmtId="167" fontId="5" fillId="0" borderId="2" pivotButton="0" quotePrefix="0" xfId="0"/>
    <xf numFmtId="168" fontId="5" fillId="0" borderId="2" pivotButton="0" quotePrefix="0" xfId="0"/>
    <xf numFmtId="2" fontId="5" fillId="0" borderId="2" pivotButton="0" quotePrefix="0" xfId="0"/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168" fontId="4" fillId="0" borderId="1" pivotButton="0" quotePrefix="0" xfId="0"/>
    <xf numFmtId="2" fontId="4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3" borderId="0" pivotButton="0" quotePrefix="0" xfId="0"/>
    <xf numFmtId="3" fontId="5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</cols>
  <sheetData>
    <row r="1">
      <c r="A1" s="1" t="inlineStr">
        <is>
          <t>IDX Banks — Sector Comps</t>
        </is>
      </c>
    </row>
    <row r="2">
      <c r="A2" s="2" t="inlineStr">
        <is>
          <t>As of 20 Jul 2026  |  SAMPLE / illustrative data — NOT for publication. Run refresh.py with live data before sharing.  |  Ricky Reinaldo | Indonesian Equity Research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6" customHeight="1">
      <c r="A4" s="4" t="inlineStr">
        <is>
          <t>Ticker</t>
        </is>
      </c>
      <c r="B4" s="5" t="inlineStr">
        <is>
          <t>Company</t>
        </is>
      </c>
      <c r="C4" s="5" t="inlineStr">
        <is>
          <t>Price
(IDR)</t>
        </is>
      </c>
      <c r="D4" s="5" t="inlineStr">
        <is>
          <t>Mcap
(IDR tn)</t>
        </is>
      </c>
      <c r="E4" s="5" t="inlineStr">
        <is>
          <t>P/E
FY25</t>
        </is>
      </c>
      <c r="F4" s="5" t="inlineStr">
        <is>
          <t>P/E
FY+1E*</t>
        </is>
      </c>
      <c r="G4" s="5" t="inlineStr">
        <is>
          <t>P/B</t>
        </is>
      </c>
      <c r="H4" s="5" t="inlineStr">
        <is>
          <t>P/B vs
median</t>
        </is>
      </c>
      <c r="I4" s="5" t="inlineStr">
        <is>
          <t>Cons.
TP†</t>
        </is>
      </c>
      <c r="J4" s="5" t="inlineStr">
        <is>
          <t>Upside
to TP†</t>
        </is>
      </c>
      <c r="K4" s="5" t="inlineStr">
        <is>
          <t>ROE
FY25</t>
        </is>
      </c>
      <c r="L4" s="5" t="inlineStr">
        <is>
          <t>ROA
FY25</t>
        </is>
      </c>
      <c r="M4" s="5" t="inlineStr">
        <is>
          <t>Div
yield</t>
        </is>
      </c>
      <c r="N4" s="5" t="inlineStr">
        <is>
          <t>NIM
2026Q1</t>
        </is>
      </c>
      <c r="O4" s="5" t="inlineStr">
        <is>
          <t>CASA
2026Q1</t>
        </is>
      </c>
      <c r="P4" s="5" t="inlineStr">
        <is>
          <t>NPL
2026Q1</t>
        </is>
      </c>
      <c r="Q4" s="5" t="inlineStr">
        <is>
          <t>CAR
2026Q1</t>
        </is>
      </c>
      <c r="R4" s="5" t="inlineStr">
        <is>
          <t>Loan gr.
YoY</t>
        </is>
      </c>
      <c r="S4" s="5" t="inlineStr">
        <is>
          <t>Cost of
credit</t>
        </is>
      </c>
      <c r="T4" s="5" t="inlineStr">
        <is>
          <t>Cost/
income</t>
        </is>
      </c>
      <c r="U4" s="5" t="inlineStr">
        <is>
          <t>Net frgn
3M (tn)</t>
        </is>
      </c>
      <c r="V4" s="5" t="inlineStr">
        <is>
          <t>Flow/ret
corr 1Y</t>
        </is>
      </c>
    </row>
    <row r="5">
      <c r="A5" s="6" t="inlineStr">
        <is>
          <t>BBCA</t>
        </is>
      </c>
      <c r="B5" s="7" t="inlineStr">
        <is>
          <t>Bank Central Asia</t>
        </is>
      </c>
      <c r="C5" s="8" t="n">
        <v>9350</v>
      </c>
      <c r="D5" s="9" t="n">
        <v>1152.62125</v>
      </c>
      <c r="E5" s="10" t="n">
        <v>20.04558695652174</v>
      </c>
      <c r="F5" s="10" t="n">
        <v>19.04276985743381</v>
      </c>
      <c r="G5" s="10" t="n">
        <v>4.101854982206405</v>
      </c>
      <c r="H5" s="11" t="n">
        <v>123.5503090198745</v>
      </c>
      <c r="I5" s="8" t="n">
        <v>10500</v>
      </c>
      <c r="J5" s="11" t="n">
        <v>12.29946524064172</v>
      </c>
      <c r="K5" s="11" t="n">
        <v>21.17863720073665</v>
      </c>
      <c r="L5" s="12" t="n">
        <v>3.846153846153846</v>
      </c>
      <c r="M5" s="11" t="n">
        <v>3.368983957219251</v>
      </c>
      <c r="N5" s="11" t="n">
        <v>5.5</v>
      </c>
      <c r="O5" s="11" t="n">
        <v>82.5</v>
      </c>
      <c r="P5" s="11" t="n">
        <v>1.8</v>
      </c>
      <c r="Q5" s="11" t="n">
        <v>30.1</v>
      </c>
      <c r="R5" s="11" t="n">
        <v>8.5</v>
      </c>
      <c r="S5" s="12" t="n">
        <v>0.4</v>
      </c>
      <c r="T5" s="11" t="n">
        <v>35.2</v>
      </c>
      <c r="U5" s="13" t="n">
        <v>-0.3668000000000003</v>
      </c>
      <c r="V5" s="14" t="n">
        <v>0.5652523605839818</v>
      </c>
    </row>
    <row r="6">
      <c r="A6" s="6" t="inlineStr">
        <is>
          <t>BBRI</t>
        </is>
      </c>
      <c r="B6" s="7" t="inlineStr">
        <is>
          <t>Bank Rakyat Indonesia</t>
        </is>
      </c>
      <c r="C6" s="8" t="n">
        <v>4380</v>
      </c>
      <c r="D6" s="9" t="n">
        <v>663.8284200000001</v>
      </c>
      <c r="E6" s="10" t="n">
        <v>12.18033798165138</v>
      </c>
      <c r="F6" s="10" t="n">
        <v>11.43603133159269</v>
      </c>
      <c r="G6" s="10" t="n">
        <v>1.975679821428571</v>
      </c>
      <c r="H6" s="11" t="n">
        <v>7.674170959382542</v>
      </c>
      <c r="I6" s="8" t="n">
        <v>5100</v>
      </c>
      <c r="J6" s="11" t="n">
        <v>16.43835616438356</v>
      </c>
      <c r="K6" s="11" t="n">
        <v>16.00587371512482</v>
      </c>
      <c r="L6" s="12" t="n">
        <v>2.573789846517119</v>
      </c>
      <c r="M6" s="11" t="n">
        <v>7.876712328767123</v>
      </c>
      <c r="N6" s="11" t="n">
        <v>7.1</v>
      </c>
      <c r="O6" s="11" t="n">
        <v>65.5</v>
      </c>
      <c r="P6" s="11" t="n">
        <v>2.8</v>
      </c>
      <c r="Q6" s="11" t="n">
        <v>25.5</v>
      </c>
      <c r="R6" s="11" t="n">
        <v>5.5</v>
      </c>
      <c r="S6" s="12" t="n">
        <v>3</v>
      </c>
      <c r="T6" s="11" t="n">
        <v>40.8</v>
      </c>
      <c r="U6" s="13" t="n">
        <v>4.8566</v>
      </c>
      <c r="V6" s="14" t="n">
        <v>0.5473385898436047</v>
      </c>
    </row>
    <row r="7">
      <c r="A7" s="6" t="inlineStr">
        <is>
          <t>BMRI</t>
        </is>
      </c>
      <c r="B7" s="7" t="inlineStr">
        <is>
          <t>Bank Mandiri</t>
        </is>
      </c>
      <c r="C7" s="8" t="n">
        <v>5300</v>
      </c>
      <c r="D7" s="9" t="n">
        <v>494.6649</v>
      </c>
      <c r="E7" s="10" t="n">
        <v>9.368653409090909</v>
      </c>
      <c r="F7" s="10" t="n">
        <v>8.833333333333334</v>
      </c>
      <c r="G7" s="10" t="n">
        <v>1.694057876712329</v>
      </c>
      <c r="H7" s="11" t="n">
        <v>-7.674170959382542</v>
      </c>
      <c r="I7" s="8" t="n">
        <v>6300</v>
      </c>
      <c r="J7" s="11" t="n">
        <v>18.86792452830188</v>
      </c>
      <c r="K7" s="11" t="n">
        <v>18.55887521968366</v>
      </c>
      <c r="L7" s="12" t="n">
        <v>2.138950779825805</v>
      </c>
      <c r="M7" s="11" t="n">
        <v>6.754716981132075</v>
      </c>
      <c r="N7" s="11" t="n">
        <v>4.9</v>
      </c>
      <c r="O7" s="11" t="n">
        <v>77</v>
      </c>
      <c r="P7" s="11" t="n">
        <v>1.1</v>
      </c>
      <c r="Q7" s="11" t="n">
        <v>21</v>
      </c>
      <c r="R7" s="11" t="n">
        <v>7</v>
      </c>
      <c r="S7" s="12" t="n">
        <v>0.8</v>
      </c>
      <c r="T7" s="11" t="n">
        <v>38.5</v>
      </c>
      <c r="U7" s="13" t="n">
        <v>0.04049999999999995</v>
      </c>
      <c r="V7" s="14" t="n">
        <v>0.5874677330337728</v>
      </c>
    </row>
    <row r="8">
      <c r="A8" s="6" t="inlineStr">
        <is>
          <t>BBNI</t>
        </is>
      </c>
      <c r="B8" s="7" t="inlineStr">
        <is>
          <t>Bank Negara Indonesia</t>
        </is>
      </c>
      <c r="C8" s="8" t="n">
        <v>4330</v>
      </c>
      <c r="D8" s="9" t="n">
        <v>161.49601</v>
      </c>
      <c r="E8" s="10" t="n">
        <v>7.617736320754717</v>
      </c>
      <c r="F8" s="10" t="n">
        <v>7.204658901830283</v>
      </c>
      <c r="G8" s="10" t="n">
        <v>1.003080807453416</v>
      </c>
      <c r="H8" s="11" t="n">
        <v>-45.33228857410817</v>
      </c>
      <c r="I8" s="8" t="n">
        <v>5000</v>
      </c>
      <c r="J8" s="11" t="n">
        <v>15.47344110854503</v>
      </c>
      <c r="K8" s="11" t="n">
        <v>13.41772151898734</v>
      </c>
      <c r="L8" s="12" t="n">
        <v>1.819742489270386</v>
      </c>
      <c r="M8" s="11" t="n">
        <v>8.637413394919168</v>
      </c>
      <c r="N8" s="11" t="n">
        <v>4.2</v>
      </c>
      <c r="O8" s="11" t="n">
        <v>71.5</v>
      </c>
      <c r="P8" s="11" t="n">
        <v>1.9</v>
      </c>
      <c r="Q8" s="11" t="n">
        <v>21.5</v>
      </c>
      <c r="R8" s="11" t="n">
        <v>4.8</v>
      </c>
      <c r="S8" s="12" t="n">
        <v>1</v>
      </c>
      <c r="T8" s="11" t="n">
        <v>46</v>
      </c>
      <c r="U8" s="13" t="n">
        <v>-0.3903999999999999</v>
      </c>
      <c r="V8" s="14" t="n">
        <v>0.5952593607103086</v>
      </c>
    </row>
    <row r="9">
      <c r="A9" s="15" t="inlineStr">
        <is>
          <t>Median</t>
        </is>
      </c>
      <c r="B9" s="3" t="n"/>
      <c r="C9" s="3" t="n"/>
      <c r="D9" s="16" t="n">
        <v>579.24666</v>
      </c>
      <c r="E9" s="17" t="n">
        <v>10.77449569537114</v>
      </c>
      <c r="F9" s="17" t="n">
        <v>10.13468233246301</v>
      </c>
      <c r="G9" s="17" t="n">
        <v>1.83486884907045</v>
      </c>
      <c r="H9" s="3" t="n"/>
      <c r="I9" s="3" t="n"/>
      <c r="J9" s="18" t="n">
        <v>15.95589863646429</v>
      </c>
      <c r="K9" s="18" t="n">
        <v>17.28237446740424</v>
      </c>
      <c r="L9" s="19" t="n">
        <v>2.356370313171462</v>
      </c>
      <c r="M9" s="18" t="n">
        <v>7.315714654949599</v>
      </c>
      <c r="N9" s="18" t="n">
        <v>5.2</v>
      </c>
      <c r="O9" s="18" t="n">
        <v>74.25</v>
      </c>
      <c r="P9" s="18" t="n">
        <v>1.85</v>
      </c>
      <c r="Q9" s="18" t="n">
        <v>23.5</v>
      </c>
      <c r="R9" s="18" t="n">
        <v>6.25</v>
      </c>
      <c r="S9" s="19" t="n">
        <v>0.9</v>
      </c>
      <c r="T9" s="18" t="n">
        <v>39.65</v>
      </c>
      <c r="U9" s="20" t="n">
        <v>-0.1631500000000002</v>
      </c>
      <c r="V9" s="21" t="n">
        <v>0.5763600468088772</v>
      </c>
    </row>
    <row r="10">
      <c r="A10" s="15" t="inlineStr">
        <is>
          <t>Cap-weighted mean</t>
        </is>
      </c>
      <c r="B10" s="3" t="n"/>
      <c r="C10" s="3" t="n"/>
      <c r="D10" s="16" t="n">
        <v>825.0301354324827</v>
      </c>
      <c r="E10" s="17" t="n">
        <v>14.98626687709635</v>
      </c>
      <c r="F10" s="17" t="n">
        <v>14.18489741417993</v>
      </c>
      <c r="G10" s="17" t="n">
        <v>2.846943310209288</v>
      </c>
      <c r="H10" s="3" t="n"/>
      <c r="I10" s="3" t="n"/>
      <c r="J10" s="3" t="n"/>
      <c r="K10" s="18" t="n">
        <v>18.75889157843259</v>
      </c>
      <c r="L10" s="19" t="n">
        <v>3.030666691527199</v>
      </c>
      <c r="M10" s="18" t="n">
        <v>5.60063008385251</v>
      </c>
      <c r="N10" s="18" t="n">
        <v>5.724613501006698</v>
      </c>
      <c r="O10" s="18" t="n">
        <v>76.11719296695723</v>
      </c>
      <c r="P10" s="18" t="n">
        <v>1.934963667024348</v>
      </c>
      <c r="Q10" s="18" t="n">
        <v>26.48279999271055</v>
      </c>
      <c r="R10" s="18" t="n">
        <v>7.152833618870952</v>
      </c>
      <c r="S10" s="19" t="n">
        <v>1.217240480302402</v>
      </c>
      <c r="T10" s="18" t="n">
        <v>38.06902850266055</v>
      </c>
      <c r="U10" s="3" t="n"/>
      <c r="V10" s="3" t="n"/>
    </row>
    <row r="12">
      <c r="A12" s="22" t="inlineStr">
        <is>
          <t>* Forward P/E uses the analyst's own FY+1 EPS estimate from assumptions/&lt;TICKER&gt;.yaml (no consensus feed) — clearly labeled, not consensus.</t>
        </is>
      </c>
    </row>
    <row r="13">
      <c r="A13" s="22" t="inlineStr">
        <is>
          <t>Net foreign flow: net foreign buy value, IDR tn (+ = inflow). Sector 3M total: +4.1 tn. Corr = Pearson(daily net flow, daily return), trailing 1Y — contemporaneous co-movement, not a forecast.</t>
        </is>
      </c>
    </row>
    <row r="14">
      <c r="A14" s="22" t="inlineStr">
        <is>
          <t>† Cons. TP = sell-side consensus mean target price; Upside to TP = vs last close. Source(s): SAMPLE_SEED. Consensus is never fabricated — n/a where no source exists; SAMPLE where illustrative.</t>
        </is>
      </c>
    </row>
  </sheetData>
  <conditionalFormatting sqref="H5:H8">
    <cfRule type="colorScale" priority="1">
      <colorScale>
        <cfvo type="num" val="-40"/>
        <cfvo type="num" val="0"/>
        <cfvo type="num" val="40"/>
        <color rgb="0063BE7B"/>
        <color rgb="00FFFFFF"/>
        <color rgb="00F8696B"/>
      </colorScale>
    </cfRule>
  </conditionalFormatting>
  <conditionalFormatting sqref="U5:U8">
    <cfRule type="colorScale" priority="2">
      <colorScale>
        <cfvo type="num" val="-5"/>
        <cfvo type="num" val="0"/>
        <cfvo type="num" val="5"/>
        <color rgb="00F8696B"/>
        <color rgb="00FFFFFF"/>
        <color rgb="0063BE7B"/>
      </colorScale>
    </cfRule>
  </conditionalFormatting>
  <conditionalFormatting sqref="J5:J8">
    <cfRule type="colorScale" priority="3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</cols>
  <sheetData>
    <row r="1">
      <c r="A1" s="1" t="inlineStr">
        <is>
          <t>BBCA — PT Bank Central Asia Tbk</t>
        </is>
      </c>
    </row>
    <row r="2">
      <c r="A2" s="2" t="inlineStr">
        <is>
          <t>As of 20 Jul 2026  |  SAMPLE / illustrative data — NOT for publication. Run refresh.py with live data before sharing.  |  Ricky Reinaldo | Indonesian Equity Research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23" t="inlineStr">
        <is>
          <t>MARKET DATA &amp; VALUATION</t>
        </is>
      </c>
    </row>
    <row r="5">
      <c r="A5" s="24" t="inlineStr">
        <is>
          <t>Last close (IDR)</t>
        </is>
      </c>
      <c r="B5" s="25" t="n">
        <v>9350</v>
      </c>
    </row>
    <row r="6">
      <c r="A6" s="24" t="inlineStr">
        <is>
          <t>52-week high / low</t>
        </is>
      </c>
      <c r="B6" s="26" t="inlineStr">
        <is>
          <t>11,700 / 8,450</t>
        </is>
      </c>
    </row>
    <row r="7">
      <c r="A7" s="24" t="inlineStr">
        <is>
          <t>Market cap (IDR tn)</t>
        </is>
      </c>
      <c r="B7" s="27" t="n">
        <v>1152.62125</v>
      </c>
    </row>
    <row r="8">
      <c r="A8" s="24" t="inlineStr">
        <is>
          <t>EPS FY25 (IDR)</t>
        </is>
      </c>
      <c r="B8" s="25" t="n">
        <v>466.4368282295681</v>
      </c>
    </row>
    <row r="9">
      <c r="A9" s="24" t="inlineStr">
        <is>
          <t>BVPS FY25 (IDR)</t>
        </is>
      </c>
      <c r="B9" s="25" t="n">
        <v>2279.456499695802</v>
      </c>
    </row>
    <row r="10">
      <c r="A10" s="24" t="inlineStr">
        <is>
          <t>DPS FY25 (IDR)</t>
        </is>
      </c>
      <c r="B10" s="25" t="n">
        <v>315</v>
      </c>
    </row>
    <row r="11">
      <c r="A11" s="24" t="inlineStr">
        <is>
          <t>P/E FY25</t>
        </is>
      </c>
      <c r="B11" s="28" t="n">
        <v>20.04558695652174</v>
      </c>
    </row>
    <row r="12">
      <c r="A12" s="24" t="inlineStr">
        <is>
          <t>P/E FY+1E (own est.)</t>
        </is>
      </c>
      <c r="B12" s="28" t="n">
        <v>19.04276985743381</v>
      </c>
    </row>
    <row r="13">
      <c r="A13" s="24" t="inlineStr">
        <is>
          <t>P/B</t>
        </is>
      </c>
      <c r="B13" s="28" t="n">
        <v>4.101854982206405</v>
      </c>
    </row>
    <row r="14">
      <c r="A14" s="24" t="inlineStr">
        <is>
          <t>Dividend yield</t>
        </is>
      </c>
      <c r="B14" s="29" t="n">
        <v>3.368983957219251</v>
      </c>
    </row>
    <row r="15">
      <c r="A15" s="24" t="inlineStr"/>
      <c r="B15" s="26" t="inlineStr"/>
    </row>
    <row r="16">
      <c r="A16" s="24" t="inlineStr">
        <is>
          <t>Residual income fair value (IDR)</t>
        </is>
      </c>
      <c r="B16" s="25" t="n">
        <v>6581</v>
      </c>
    </row>
    <row r="17">
      <c r="A17" s="24" t="inlineStr">
        <is>
          <t>DDM cross-check (IDR)</t>
        </is>
      </c>
      <c r="B17" s="25" t="n">
        <v>6581</v>
      </c>
    </row>
    <row r="18">
      <c r="A18" s="24" t="inlineStr">
        <is>
          <t>Implied P/B at RI fair value</t>
        </is>
      </c>
      <c r="B18" s="28" t="n">
        <v>2.886945879223044</v>
      </c>
    </row>
    <row r="19">
      <c r="A19" s="24" t="inlineStr">
        <is>
          <t>Upside / (downside)</t>
        </is>
      </c>
      <c r="B19" s="29" t="n">
        <v>-29.61852889128366</v>
      </c>
    </row>
    <row r="20">
      <c r="A20" s="24" t="inlineStr">
        <is>
          <t>Cost of equity (CAPM)</t>
        </is>
      </c>
      <c r="B20" s="30" t="n">
        <v>10.65</v>
      </c>
    </row>
    <row r="22">
      <c r="A22" s="23" t="inlineStr">
        <is>
          <t>FORWARD ESTIMATES &amp; CONSENSUS</t>
        </is>
      </c>
    </row>
    <row r="23">
      <c r="A23" s="24" t="inlineStr">
        <is>
          <t>Forward EPS FY+1E, own est. (IDR)</t>
        </is>
      </c>
      <c r="B23" s="25" t="n">
        <v>491</v>
      </c>
    </row>
    <row r="24">
      <c r="A24" s="24" t="inlineStr">
        <is>
          <t>Forward net income, own est. (IDR tn)</t>
        </is>
      </c>
      <c r="B24" s="27" t="n">
        <v>60.528025</v>
      </c>
    </row>
    <row r="25">
      <c r="A25" s="24" t="inlineStr">
        <is>
          <t>EPS growth YoY, own est.</t>
        </is>
      </c>
      <c r="B25" s="29" t="n">
        <v>5.266130434782612</v>
      </c>
    </row>
    <row r="26">
      <c r="A26" s="24" t="inlineStr">
        <is>
          <t>Forward P/E, own est.</t>
        </is>
      </c>
      <c r="B26" s="28" t="n">
        <v>19.04276985743381</v>
      </c>
    </row>
    <row r="27">
      <c r="A27" s="24" t="inlineStr">
        <is>
          <t>RI-model year-1 EPS (cross-check)</t>
        </is>
      </c>
      <c r="B27" s="25" t="n">
        <v>479</v>
      </c>
    </row>
    <row r="28">
      <c r="A28" s="24" t="inlineStr"/>
      <c r="B28" s="26" t="inlineStr"/>
    </row>
    <row r="29">
      <c r="A29" s="24" t="inlineStr">
        <is>
          <t>Consensus mean target (IDR) [SAMPLE]</t>
        </is>
      </c>
      <c r="B29" s="25" t="n">
        <v>10500</v>
      </c>
    </row>
    <row r="30">
      <c r="A30" s="24" t="inlineStr">
        <is>
          <t>Upside to consensus target</t>
        </is>
      </c>
      <c r="B30" s="29" t="n">
        <v>12.29946524064172</v>
      </c>
    </row>
    <row r="31">
      <c r="A31" s="24" t="inlineStr">
        <is>
          <t>Consensus analysts / rating</t>
        </is>
      </c>
      <c r="B31" s="26" t="inlineStr">
        <is>
          <t>35 / buy</t>
        </is>
      </c>
    </row>
    <row r="32">
      <c r="A32" s="24" t="inlineStr">
        <is>
          <t>Consensus forward P/E</t>
        </is>
      </c>
      <c r="B32" s="28" t="n">
        <v>18.51485148514852</v>
      </c>
    </row>
    <row r="33">
      <c r="A33" s="24" t="inlineStr">
        <is>
          <t>Consensus source</t>
        </is>
      </c>
      <c r="B33" s="26" t="inlineStr">
        <is>
          <t>SAMPLE_SEED</t>
        </is>
      </c>
    </row>
    <row r="35">
      <c r="A35" s="23" t="inlineStr">
        <is>
          <t>FOREIGN FLOW MONITOR (net foreign buy value)</t>
        </is>
      </c>
    </row>
    <row r="36">
      <c r="A36" s="24" t="inlineStr">
        <is>
          <t>Net foreign flow 1W (IDR tn)</t>
        </is>
      </c>
      <c r="B36" s="31" t="n">
        <v>-0.1015</v>
      </c>
    </row>
    <row r="37">
      <c r="A37" s="24" t="inlineStr">
        <is>
          <t>Net foreign flow 1M (IDR tn)</t>
        </is>
      </c>
      <c r="B37" s="31" t="n">
        <v>-1.0926</v>
      </c>
    </row>
    <row r="38">
      <c r="A38" s="24" t="inlineStr">
        <is>
          <t>Net foreign flow 3M (IDR tn)</t>
        </is>
      </c>
      <c r="B38" s="31" t="n">
        <v>-0.3668000000000003</v>
      </c>
    </row>
    <row r="39">
      <c r="A39" s="24" t="inlineStr">
        <is>
          <t>Net foreign flow 6M (IDR tn)</t>
        </is>
      </c>
      <c r="B39" s="31" t="n">
        <v>-0.7817000000000002</v>
      </c>
    </row>
    <row r="40">
      <c r="A40" s="24" t="inlineStr">
        <is>
          <t>Net foreign flow YTD (IDR tn)</t>
        </is>
      </c>
      <c r="B40" s="31" t="n">
        <v>-0.9216000000000002</v>
      </c>
    </row>
    <row r="41">
      <c r="A41" s="24" t="inlineStr">
        <is>
          <t>Net foreign flow 12M (IDR tn)</t>
        </is>
      </c>
      <c r="B41" s="31" t="n">
        <v>0.6061999999999983</v>
      </c>
    </row>
    <row r="42">
      <c r="A42" s="24" t="inlineStr">
        <is>
          <t>Corr(daily flow, daily return), 1Y</t>
        </is>
      </c>
      <c r="B42" s="32" t="n">
        <v>0.5652523605839818</v>
      </c>
    </row>
    <row r="43">
      <c r="A43" s="24" t="inlineStr">
        <is>
          <t>Corr(weekly flow, weekly return), 1Y</t>
        </is>
      </c>
      <c r="B43" s="32" t="n">
        <v>0.494732049181332</v>
      </c>
    </row>
    <row r="44">
      <c r="A44" s="24" t="inlineStr">
        <is>
          <t>Flow data through</t>
        </is>
      </c>
      <c r="B44" s="26" t="inlineStr">
        <is>
          <t>2026-07-20</t>
        </is>
      </c>
    </row>
    <row r="46">
      <c r="A46" s="23" t="inlineStr">
        <is>
          <t>KEY BANK METRICS BY QUARTER (manual layer — investor presentations)</t>
        </is>
      </c>
    </row>
    <row r="47">
      <c r="A47" s="4" t="inlineStr">
        <is>
          <t>Metric</t>
        </is>
      </c>
      <c r="B47" s="33" t="inlineStr">
        <is>
          <t>2024Q2</t>
        </is>
      </c>
      <c r="C47" s="33" t="inlineStr">
        <is>
          <t>2024Q3</t>
        </is>
      </c>
      <c r="D47" s="33" t="inlineStr">
        <is>
          <t>2024Q4</t>
        </is>
      </c>
      <c r="E47" s="33" t="inlineStr">
        <is>
          <t>2025Q1</t>
        </is>
      </c>
      <c r="F47" s="33" t="inlineStr">
        <is>
          <t>2025Q2</t>
        </is>
      </c>
      <c r="G47" s="33" t="inlineStr">
        <is>
          <t>2025Q3</t>
        </is>
      </c>
      <c r="H47" s="33" t="inlineStr">
        <is>
          <t>2025Q4</t>
        </is>
      </c>
      <c r="I47" s="33" t="inlineStr">
        <is>
          <t>2026Q1</t>
        </is>
      </c>
    </row>
    <row r="48">
      <c r="A48" s="24" t="inlineStr">
        <is>
          <t>NIM</t>
        </is>
      </c>
      <c r="B48" s="11" t="n">
        <v>5.8</v>
      </c>
      <c r="C48" s="11" t="n">
        <v>5.9</v>
      </c>
      <c r="D48" s="11" t="n">
        <v>5.8</v>
      </c>
      <c r="E48" s="11" t="n">
        <v>5.8</v>
      </c>
      <c r="F48" s="11" t="n">
        <v>5.7</v>
      </c>
      <c r="G48" s="11" t="n">
        <v>5.6</v>
      </c>
      <c r="H48" s="11" t="n">
        <v>5.6</v>
      </c>
      <c r="I48" s="11" t="n">
        <v>5.5</v>
      </c>
    </row>
    <row r="49">
      <c r="A49" s="24" t="inlineStr">
        <is>
          <t>CASA ratio</t>
        </is>
      </c>
      <c r="B49" s="11" t="n">
        <v>81</v>
      </c>
      <c r="C49" s="11" t="n">
        <v>81.2</v>
      </c>
      <c r="D49" s="11" t="n">
        <v>81.5</v>
      </c>
      <c r="E49" s="11" t="n">
        <v>81.8</v>
      </c>
      <c r="F49" s="11" t="n">
        <v>82</v>
      </c>
      <c r="G49" s="11" t="n">
        <v>82.2</v>
      </c>
      <c r="H49" s="11" t="n">
        <v>82.40000000000001</v>
      </c>
      <c r="I49" s="11" t="n">
        <v>82.5</v>
      </c>
    </row>
    <row r="50">
      <c r="A50" s="24" t="inlineStr">
        <is>
          <t>NPL ratio</t>
        </is>
      </c>
      <c r="B50" s="11" t="n">
        <v>2.2</v>
      </c>
      <c r="C50" s="11" t="n">
        <v>2.1</v>
      </c>
      <c r="D50" s="11" t="n">
        <v>1.8</v>
      </c>
      <c r="E50" s="11" t="n">
        <v>1.9</v>
      </c>
      <c r="F50" s="11" t="n">
        <v>2</v>
      </c>
      <c r="G50" s="11" t="n">
        <v>1.9</v>
      </c>
      <c r="H50" s="11" t="n">
        <v>1.8</v>
      </c>
      <c r="I50" s="11" t="n">
        <v>1.8</v>
      </c>
    </row>
    <row r="51">
      <c r="A51" s="24" t="inlineStr">
        <is>
          <t>CAR</t>
        </is>
      </c>
      <c r="B51" s="11" t="n">
        <v>28.8</v>
      </c>
      <c r="C51" s="11" t="n">
        <v>29</v>
      </c>
      <c r="D51" s="11" t="n">
        <v>29.4</v>
      </c>
      <c r="E51" s="11" t="n">
        <v>29.8</v>
      </c>
      <c r="F51" s="11" t="n">
        <v>29.5</v>
      </c>
      <c r="G51" s="11" t="n">
        <v>29.6</v>
      </c>
      <c r="H51" s="11" t="n">
        <v>29.9</v>
      </c>
      <c r="I51" s="11" t="n">
        <v>30.1</v>
      </c>
    </row>
    <row r="52">
      <c r="A52" s="24" t="inlineStr">
        <is>
          <t>Loan growth YoY</t>
        </is>
      </c>
      <c r="B52" s="11" t="n">
        <v>15.5</v>
      </c>
      <c r="C52" s="11" t="n">
        <v>14.5</v>
      </c>
      <c r="D52" s="11" t="n">
        <v>13.8</v>
      </c>
      <c r="E52" s="11" t="n">
        <v>12.6</v>
      </c>
      <c r="F52" s="11" t="n">
        <v>11</v>
      </c>
      <c r="G52" s="11" t="n">
        <v>9.5</v>
      </c>
      <c r="H52" s="11" t="n">
        <v>8.9</v>
      </c>
      <c r="I52" s="11" t="n">
        <v>8.5</v>
      </c>
    </row>
    <row r="53">
      <c r="A53" s="24" t="inlineStr">
        <is>
          <t>Cost of credit</t>
        </is>
      </c>
      <c r="B53" s="12" t="n">
        <v>0.4</v>
      </c>
      <c r="C53" s="12" t="n">
        <v>0.3</v>
      </c>
      <c r="D53" s="12" t="n">
        <v>0.3</v>
      </c>
      <c r="E53" s="12" t="n">
        <v>0.4</v>
      </c>
      <c r="F53" s="12" t="n">
        <v>0.5</v>
      </c>
      <c r="G53" s="12" t="n">
        <v>0.4</v>
      </c>
      <c r="H53" s="12" t="n">
        <v>0.4</v>
      </c>
      <c r="I53" s="12" t="n">
        <v>0.4</v>
      </c>
    </row>
    <row r="54">
      <c r="A54" s="24" t="inlineStr">
        <is>
          <t>Cost/income</t>
        </is>
      </c>
      <c r="B54" s="11" t="n">
        <v>33.5</v>
      </c>
      <c r="C54" s="11" t="n">
        <v>33.2</v>
      </c>
      <c r="D54" s="11" t="n">
        <v>33.8</v>
      </c>
      <c r="E54" s="11" t="n">
        <v>34.2</v>
      </c>
      <c r="F54" s="11" t="n">
        <v>34.5</v>
      </c>
      <c r="G54" s="11" t="n">
        <v>34.8</v>
      </c>
      <c r="H54" s="11" t="n">
        <v>35</v>
      </c>
      <c r="I54" s="11" t="n">
        <v>35.2</v>
      </c>
    </row>
    <row r="56">
      <c r="A56" s="23" t="inlineStr">
        <is>
          <t>ANNUAL FINANCIALS (yfinance cache)</t>
        </is>
      </c>
    </row>
    <row r="57">
      <c r="A57" s="4" t="inlineStr">
        <is>
          <t>FY</t>
        </is>
      </c>
      <c r="B57" s="33" t="inlineStr">
        <is>
          <t>FY20</t>
        </is>
      </c>
      <c r="C57" s="33" t="inlineStr">
        <is>
          <t>FY21</t>
        </is>
      </c>
      <c r="D57" s="33" t="inlineStr">
        <is>
          <t>FY22</t>
        </is>
      </c>
      <c r="E57" s="33" t="inlineStr">
        <is>
          <t>FY23</t>
        </is>
      </c>
      <c r="F57" s="33" t="inlineStr">
        <is>
          <t>FY24</t>
        </is>
      </c>
      <c r="G57" s="33" t="inlineStr">
        <is>
          <t>FY25</t>
        </is>
      </c>
    </row>
    <row r="58">
      <c r="A58" s="24" t="inlineStr">
        <is>
          <t>Net income (IDR tn)</t>
        </is>
      </c>
      <c r="B58" s="9" t="n">
        <v>27.1</v>
      </c>
      <c r="C58" s="9" t="n">
        <v>31.4</v>
      </c>
      <c r="D58" s="9" t="n">
        <v>40.7</v>
      </c>
      <c r="E58" s="9" t="n">
        <v>48.6</v>
      </c>
      <c r="F58" s="9" t="n">
        <v>54.8</v>
      </c>
      <c r="G58" s="9" t="n">
        <v>57.5</v>
      </c>
    </row>
    <row r="59">
      <c r="A59" s="24" t="inlineStr">
        <is>
          <t>Total equity (IDR tn)</t>
        </is>
      </c>
      <c r="B59" s="9" t="n">
        <v>184</v>
      </c>
      <c r="C59" s="9" t="n">
        <v>203</v>
      </c>
      <c r="D59" s="9" t="n">
        <v>221</v>
      </c>
      <c r="E59" s="9" t="n">
        <v>242</v>
      </c>
      <c r="F59" s="9" t="n">
        <v>262</v>
      </c>
      <c r="G59" s="9" t="n">
        <v>281</v>
      </c>
    </row>
    <row r="60">
      <c r="A60" s="24" t="inlineStr">
        <is>
          <t>Total assets (IDR tn)</t>
        </is>
      </c>
      <c r="B60" s="9" t="n">
        <v>1076</v>
      </c>
      <c r="C60" s="9" t="n">
        <v>1228</v>
      </c>
      <c r="D60" s="9" t="n">
        <v>1315</v>
      </c>
      <c r="E60" s="9" t="n">
        <v>1408</v>
      </c>
      <c r="F60" s="9" t="n">
        <v>1450</v>
      </c>
      <c r="G60" s="9" t="n">
        <v>1540</v>
      </c>
    </row>
    <row r="61">
      <c r="A61" s="24" t="inlineStr">
        <is>
          <t>EPS (IDR)</t>
        </is>
      </c>
      <c r="B61" s="8" t="n">
        <v>219.8337051308051</v>
      </c>
      <c r="C61" s="8" t="n">
        <v>254.715067937538</v>
      </c>
      <c r="D61" s="8" t="n">
        <v>330.1561549381464</v>
      </c>
      <c r="E61" s="8" t="n">
        <v>394.2405191644697</v>
      </c>
      <c r="F61" s="8" t="n">
        <v>444.5345771648753</v>
      </c>
      <c r="G61" s="8" t="n">
        <v>466.4368282295681</v>
      </c>
    </row>
    <row r="62">
      <c r="A62" s="24" t="inlineStr">
        <is>
          <t>BVPS (IDR)</t>
        </is>
      </c>
      <c r="B62" s="8" t="n">
        <v>1492.597850334618</v>
      </c>
      <c r="C62" s="8" t="n">
        <v>1646.724802271345</v>
      </c>
      <c r="D62" s="8" t="n">
        <v>1792.739809369296</v>
      </c>
      <c r="E62" s="8" t="n">
        <v>1963.090650983573</v>
      </c>
      <c r="F62" s="8" t="n">
        <v>2125.329547759075</v>
      </c>
      <c r="G62" s="8" t="n">
        <v>2279.456499695802</v>
      </c>
    </row>
    <row r="63">
      <c r="A63" s="24" t="inlineStr">
        <is>
          <t>DPS (IDR)</t>
        </is>
      </c>
      <c r="B63" s="8" t="n">
        <v>111</v>
      </c>
      <c r="C63" s="8" t="n">
        <v>117</v>
      </c>
      <c r="D63" s="8" t="n">
        <v>205</v>
      </c>
      <c r="E63" s="8" t="n">
        <v>265</v>
      </c>
      <c r="F63" s="8" t="n">
        <v>300</v>
      </c>
      <c r="G63" s="8" t="n">
        <v>315</v>
      </c>
    </row>
    <row r="64">
      <c r="A64" s="24" t="inlineStr">
        <is>
          <t>ROE (avg equity)</t>
        </is>
      </c>
      <c r="B64" s="11" t="n">
        <v>15.0974930362117</v>
      </c>
      <c r="C64" s="11" t="n">
        <v>16.22739018087855</v>
      </c>
      <c r="D64" s="11" t="n">
        <v>19.19811320754717</v>
      </c>
      <c r="E64" s="11" t="n">
        <v>20.99352051835853</v>
      </c>
      <c r="F64" s="11" t="n">
        <v>21.74603174603175</v>
      </c>
      <c r="G64" s="11" t="n">
        <v>21.17863720073665</v>
      </c>
    </row>
    <row r="65">
      <c r="A65" s="24" t="inlineStr">
        <is>
          <t>ROA (avg assets)</t>
        </is>
      </c>
      <c r="B65" s="12" t="n">
        <v>2.716791979949875</v>
      </c>
      <c r="C65" s="12" t="n">
        <v>2.725694444444445</v>
      </c>
      <c r="D65" s="12" t="n">
        <v>3.20094376720409</v>
      </c>
      <c r="E65" s="12" t="n">
        <v>3.56959236136614</v>
      </c>
      <c r="F65" s="12" t="n">
        <v>3.834849545136459</v>
      </c>
      <c r="G65" s="12" t="n">
        <v>3.846153846153846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</cols>
  <sheetData>
    <row r="1">
      <c r="A1" s="1" t="inlineStr">
        <is>
          <t>BBRI — PT Bank Rakyat Indonesia (Persero) Tbk</t>
        </is>
      </c>
    </row>
    <row r="2">
      <c r="A2" s="2" t="inlineStr">
        <is>
          <t>As of 20 Jul 2026  |  SAMPLE / illustrative data — NOT for publication. Run refresh.py with live data before sharing.  |  Ricky Reinaldo | Indonesian Equity Research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23" t="inlineStr">
        <is>
          <t>MARKET DATA &amp; VALUATION</t>
        </is>
      </c>
    </row>
    <row r="5">
      <c r="A5" s="24" t="inlineStr">
        <is>
          <t>Last close (IDR)</t>
        </is>
      </c>
      <c r="B5" s="25" t="n">
        <v>4380</v>
      </c>
    </row>
    <row r="6">
      <c r="A6" s="24" t="inlineStr">
        <is>
          <t>52-week high / low</t>
        </is>
      </c>
      <c r="B6" s="26" t="inlineStr">
        <is>
          <t>4,990 / 3,570</t>
        </is>
      </c>
    </row>
    <row r="7">
      <c r="A7" s="24" t="inlineStr">
        <is>
          <t>Market cap (IDR tn)</t>
        </is>
      </c>
      <c r="B7" s="27" t="n">
        <v>663.8284200000001</v>
      </c>
    </row>
    <row r="8">
      <c r="A8" s="24" t="inlineStr">
        <is>
          <t>EPS FY25 (IDR)</t>
        </is>
      </c>
      <c r="B8" s="25" t="n">
        <v>359.5959329370081</v>
      </c>
    </row>
    <row r="9">
      <c r="A9" s="24" t="inlineStr">
        <is>
          <t>BVPS FY25 (IDR)</t>
        </is>
      </c>
      <c r="B9" s="25" t="n">
        <v>2216.958412235499</v>
      </c>
    </row>
    <row r="10">
      <c r="A10" s="24" t="inlineStr">
        <is>
          <t>DPS FY25 (IDR)</t>
        </is>
      </c>
      <c r="B10" s="25" t="n">
        <v>345</v>
      </c>
    </row>
    <row r="11">
      <c r="A11" s="24" t="inlineStr">
        <is>
          <t>P/E FY25</t>
        </is>
      </c>
      <c r="B11" s="28" t="n">
        <v>12.18033798165138</v>
      </c>
    </row>
    <row r="12">
      <c r="A12" s="24" t="inlineStr">
        <is>
          <t>P/E FY+1E (own est.)</t>
        </is>
      </c>
      <c r="B12" s="28" t="n">
        <v>11.43603133159269</v>
      </c>
    </row>
    <row r="13">
      <c r="A13" s="24" t="inlineStr">
        <is>
          <t>P/B</t>
        </is>
      </c>
      <c r="B13" s="28" t="n">
        <v>1.975679821428571</v>
      </c>
    </row>
    <row r="14">
      <c r="A14" s="24" t="inlineStr">
        <is>
          <t>Dividend yield</t>
        </is>
      </c>
      <c r="B14" s="29" t="n">
        <v>7.876712328767123</v>
      </c>
    </row>
    <row r="15">
      <c r="A15" s="24" t="inlineStr"/>
      <c r="B15" s="26" t="inlineStr"/>
    </row>
    <row r="16">
      <c r="A16" s="24" t="inlineStr">
        <is>
          <t>Residual income fair value (IDR)</t>
        </is>
      </c>
      <c r="B16" s="25" t="n">
        <v>3982</v>
      </c>
    </row>
    <row r="17">
      <c r="A17" s="24" t="inlineStr">
        <is>
          <t>DDM cross-check (IDR)</t>
        </is>
      </c>
      <c r="B17" s="25" t="n">
        <v>3982</v>
      </c>
    </row>
    <row r="18">
      <c r="A18" s="24" t="inlineStr">
        <is>
          <t>Implied P/B at RI fair value</t>
        </is>
      </c>
      <c r="B18" s="28" t="n">
        <v>1.796207506656521</v>
      </c>
    </row>
    <row r="19">
      <c r="A19" s="24" t="inlineStr">
        <is>
          <t>Upside / (downside)</t>
        </is>
      </c>
      <c r="B19" s="29" t="n">
        <v>-9.084078949709474</v>
      </c>
    </row>
    <row r="20">
      <c r="A20" s="24" t="inlineStr">
        <is>
          <t>Cost of equity (CAPM)</t>
        </is>
      </c>
      <c r="B20" s="30" t="n">
        <v>11.4</v>
      </c>
    </row>
    <row r="22">
      <c r="A22" s="23" t="inlineStr">
        <is>
          <t>FORWARD ESTIMATES &amp; CONSENSUS</t>
        </is>
      </c>
    </row>
    <row r="23">
      <c r="A23" s="24" t="inlineStr">
        <is>
          <t>Forward EPS FY+1E, own est. (IDR)</t>
        </is>
      </c>
      <c r="B23" s="25" t="n">
        <v>383</v>
      </c>
    </row>
    <row r="24">
      <c r="A24" s="24" t="inlineStr">
        <is>
          <t>Forward net income, own est. (IDR tn)</t>
        </is>
      </c>
      <c r="B24" s="27" t="n">
        <v>58.047097</v>
      </c>
    </row>
    <row r="25">
      <c r="A25" s="24" t="inlineStr">
        <is>
          <t>EPS growth YoY, own est.</t>
        </is>
      </c>
      <c r="B25" s="29" t="n">
        <v>6.508434862385304</v>
      </c>
    </row>
    <row r="26">
      <c r="A26" s="24" t="inlineStr">
        <is>
          <t>Forward P/E, own est.</t>
        </is>
      </c>
      <c r="B26" s="28" t="n">
        <v>11.43603133159269</v>
      </c>
    </row>
    <row r="27">
      <c r="A27" s="24" t="inlineStr">
        <is>
          <t>RI-model year-1 EPS (cross-check)</t>
        </is>
      </c>
      <c r="B27" s="25" t="n">
        <v>355</v>
      </c>
    </row>
    <row r="28">
      <c r="A28" s="24" t="inlineStr"/>
      <c r="B28" s="26" t="inlineStr"/>
    </row>
    <row r="29">
      <c r="A29" s="24" t="inlineStr">
        <is>
          <t>Consensus mean target (IDR) [SAMPLE]</t>
        </is>
      </c>
      <c r="B29" s="25" t="n">
        <v>5100</v>
      </c>
    </row>
    <row r="30">
      <c r="A30" s="24" t="inlineStr">
        <is>
          <t>Upside to consensus target</t>
        </is>
      </c>
      <c r="B30" s="29" t="n">
        <v>16.43835616438356</v>
      </c>
    </row>
    <row r="31">
      <c r="A31" s="24" t="inlineStr">
        <is>
          <t>Consensus analysts / rating</t>
        </is>
      </c>
      <c r="B31" s="26" t="inlineStr">
        <is>
          <t>34 / buy</t>
        </is>
      </c>
    </row>
    <row r="32">
      <c r="A32" s="24" t="inlineStr">
        <is>
          <t>Consensus forward P/E</t>
        </is>
      </c>
      <c r="B32" s="28" t="n">
        <v>11.08860759493671</v>
      </c>
    </row>
    <row r="33">
      <c r="A33" s="24" t="inlineStr">
        <is>
          <t>Consensus source</t>
        </is>
      </c>
      <c r="B33" s="26" t="inlineStr">
        <is>
          <t>SAMPLE_SEED</t>
        </is>
      </c>
    </row>
    <row r="35">
      <c r="A35" s="23" t="inlineStr">
        <is>
          <t>FOREIGN FLOW MONITOR (net foreign buy value)</t>
        </is>
      </c>
    </row>
    <row r="36">
      <c r="A36" s="24" t="inlineStr">
        <is>
          <t>Net foreign flow 1W (IDR tn)</t>
        </is>
      </c>
      <c r="B36" s="31" t="n">
        <v>0.2634</v>
      </c>
    </row>
    <row r="37">
      <c r="A37" s="24" t="inlineStr">
        <is>
          <t>Net foreign flow 1M (IDR tn)</t>
        </is>
      </c>
      <c r="B37" s="31" t="n">
        <v>2.3172</v>
      </c>
    </row>
    <row r="38">
      <c r="A38" s="24" t="inlineStr">
        <is>
          <t>Net foreign flow 3M (IDR tn)</t>
        </is>
      </c>
      <c r="B38" s="31" t="n">
        <v>4.8566</v>
      </c>
    </row>
    <row r="39">
      <c r="A39" s="24" t="inlineStr">
        <is>
          <t>Net foreign flow 6M (IDR tn)</t>
        </is>
      </c>
      <c r="B39" s="31" t="n">
        <v>2.789900000000001</v>
      </c>
    </row>
    <row r="40">
      <c r="A40" s="24" t="inlineStr">
        <is>
          <t>Net foreign flow YTD (IDR tn)</t>
        </is>
      </c>
      <c r="B40" s="31" t="n">
        <v>2.424900000000001</v>
      </c>
    </row>
    <row r="41">
      <c r="A41" s="24" t="inlineStr">
        <is>
          <t>Net foreign flow 12M (IDR tn)</t>
        </is>
      </c>
      <c r="B41" s="31" t="n">
        <v>2.597500000000002</v>
      </c>
    </row>
    <row r="42">
      <c r="A42" s="24" t="inlineStr">
        <is>
          <t>Corr(daily flow, daily return), 1Y</t>
        </is>
      </c>
      <c r="B42" s="32" t="n">
        <v>0.5473385898436047</v>
      </c>
    </row>
    <row r="43">
      <c r="A43" s="24" t="inlineStr">
        <is>
          <t>Corr(weekly flow, weekly return), 1Y</t>
        </is>
      </c>
      <c r="B43" s="32" t="n">
        <v>0.4075308610362834</v>
      </c>
    </row>
    <row r="44">
      <c r="A44" s="24" t="inlineStr">
        <is>
          <t>Flow data through</t>
        </is>
      </c>
      <c r="B44" s="26" t="inlineStr">
        <is>
          <t>2026-07-20</t>
        </is>
      </c>
    </row>
    <row r="46">
      <c r="A46" s="23" t="inlineStr">
        <is>
          <t>KEY BANK METRICS BY QUARTER (manual layer — investor presentations)</t>
        </is>
      </c>
    </row>
    <row r="47">
      <c r="A47" s="4" t="inlineStr">
        <is>
          <t>Metric</t>
        </is>
      </c>
      <c r="B47" s="33" t="inlineStr">
        <is>
          <t>2024Q2</t>
        </is>
      </c>
      <c r="C47" s="33" t="inlineStr">
        <is>
          <t>2024Q3</t>
        </is>
      </c>
      <c r="D47" s="33" t="inlineStr">
        <is>
          <t>2024Q4</t>
        </is>
      </c>
      <c r="E47" s="33" t="inlineStr">
        <is>
          <t>2025Q1</t>
        </is>
      </c>
      <c r="F47" s="33" t="inlineStr">
        <is>
          <t>2025Q2</t>
        </is>
      </c>
      <c r="G47" s="33" t="inlineStr">
        <is>
          <t>2025Q3</t>
        </is>
      </c>
      <c r="H47" s="33" t="inlineStr">
        <is>
          <t>2025Q4</t>
        </is>
      </c>
      <c r="I47" s="33" t="inlineStr">
        <is>
          <t>2026Q1</t>
        </is>
      </c>
    </row>
    <row r="48">
      <c r="A48" s="24" t="inlineStr">
        <is>
          <t>NIM</t>
        </is>
      </c>
      <c r="B48" s="11" t="n">
        <v>7.9</v>
      </c>
      <c r="C48" s="11" t="n">
        <v>7.8</v>
      </c>
      <c r="D48" s="11" t="n">
        <v>7.7</v>
      </c>
      <c r="E48" s="11" t="n">
        <v>7.6</v>
      </c>
      <c r="F48" s="11" t="n">
        <v>7.4</v>
      </c>
      <c r="G48" s="11" t="n">
        <v>7.3</v>
      </c>
      <c r="H48" s="11" t="n">
        <v>7.2</v>
      </c>
      <c r="I48" s="11" t="n">
        <v>7.1</v>
      </c>
    </row>
    <row r="49">
      <c r="A49" s="24" t="inlineStr">
        <is>
          <t>CASA ratio</t>
        </is>
      </c>
      <c r="B49" s="11" t="n">
        <v>63</v>
      </c>
      <c r="C49" s="11" t="n">
        <v>63.5</v>
      </c>
      <c r="D49" s="11" t="n">
        <v>63.6</v>
      </c>
      <c r="E49" s="11" t="n">
        <v>64</v>
      </c>
      <c r="F49" s="11" t="n">
        <v>64.3</v>
      </c>
      <c r="G49" s="11" t="n">
        <v>64.8</v>
      </c>
      <c r="H49" s="11" t="n">
        <v>65.2</v>
      </c>
      <c r="I49" s="11" t="n">
        <v>65.5</v>
      </c>
    </row>
    <row r="50">
      <c r="A50" s="24" t="inlineStr">
        <is>
          <t>NPL ratio</t>
        </is>
      </c>
      <c r="B50" s="11" t="n">
        <v>3</v>
      </c>
      <c r="C50" s="11" t="n">
        <v>2.9</v>
      </c>
      <c r="D50" s="11" t="n">
        <v>2.8</v>
      </c>
      <c r="E50" s="11" t="n">
        <v>2.9</v>
      </c>
      <c r="F50" s="11" t="n">
        <v>3</v>
      </c>
      <c r="G50" s="11" t="n">
        <v>2.9</v>
      </c>
      <c r="H50" s="11" t="n">
        <v>2.8</v>
      </c>
      <c r="I50" s="11" t="n">
        <v>2.8</v>
      </c>
    </row>
    <row r="51">
      <c r="A51" s="24" t="inlineStr">
        <is>
          <t>CAR</t>
        </is>
      </c>
      <c r="B51" s="11" t="n">
        <v>24.2</v>
      </c>
      <c r="C51" s="11" t="n">
        <v>24.5</v>
      </c>
      <c r="D51" s="11" t="n">
        <v>24.9</v>
      </c>
      <c r="E51" s="11" t="n">
        <v>24.6</v>
      </c>
      <c r="F51" s="11" t="n">
        <v>24.8</v>
      </c>
      <c r="G51" s="11" t="n">
        <v>25</v>
      </c>
      <c r="H51" s="11" t="n">
        <v>25.3</v>
      </c>
      <c r="I51" s="11" t="n">
        <v>25.5</v>
      </c>
    </row>
    <row r="52">
      <c r="A52" s="24" t="inlineStr">
        <is>
          <t>Loan growth YoY</t>
        </is>
      </c>
      <c r="B52" s="11" t="n">
        <v>8.5</v>
      </c>
      <c r="C52" s="11" t="n">
        <v>7.5</v>
      </c>
      <c r="D52" s="11" t="n">
        <v>6.5</v>
      </c>
      <c r="E52" s="11" t="n">
        <v>5</v>
      </c>
      <c r="F52" s="11" t="n">
        <v>4.5</v>
      </c>
      <c r="G52" s="11" t="n">
        <v>4.8</v>
      </c>
      <c r="H52" s="11" t="n">
        <v>5.2</v>
      </c>
      <c r="I52" s="11" t="n">
        <v>5.5</v>
      </c>
    </row>
    <row r="53">
      <c r="A53" s="24" t="inlineStr">
        <is>
          <t>Cost of credit</t>
        </is>
      </c>
      <c r="B53" s="12" t="n">
        <v>3.4</v>
      </c>
      <c r="C53" s="12" t="n">
        <v>3.5</v>
      </c>
      <c r="D53" s="12" t="n">
        <v>3.3</v>
      </c>
      <c r="E53" s="12" t="n">
        <v>3.4</v>
      </c>
      <c r="F53" s="12" t="n">
        <v>3.2</v>
      </c>
      <c r="G53" s="12" t="n">
        <v>3.1</v>
      </c>
      <c r="H53" s="12" t="n">
        <v>3</v>
      </c>
      <c r="I53" s="12" t="n">
        <v>3</v>
      </c>
    </row>
    <row r="54">
      <c r="A54" s="24" t="inlineStr">
        <is>
          <t>Cost/income</t>
        </is>
      </c>
      <c r="B54" s="11" t="n">
        <v>38</v>
      </c>
      <c r="C54" s="11" t="n">
        <v>38.5</v>
      </c>
      <c r="D54" s="11" t="n">
        <v>39</v>
      </c>
      <c r="E54" s="11" t="n">
        <v>39.5</v>
      </c>
      <c r="F54" s="11" t="n">
        <v>40</v>
      </c>
      <c r="G54" s="11" t="n">
        <v>40.2</v>
      </c>
      <c r="H54" s="11" t="n">
        <v>40.5</v>
      </c>
      <c r="I54" s="11" t="n">
        <v>40.8</v>
      </c>
    </row>
    <row r="56">
      <c r="A56" s="23" t="inlineStr">
        <is>
          <t>ANNUAL FINANCIALS (yfinance cache)</t>
        </is>
      </c>
    </row>
    <row r="57">
      <c r="A57" s="4" t="inlineStr">
        <is>
          <t>FY</t>
        </is>
      </c>
      <c r="B57" s="33" t="inlineStr">
        <is>
          <t>FY20</t>
        </is>
      </c>
      <c r="C57" s="33" t="inlineStr">
        <is>
          <t>FY21</t>
        </is>
      </c>
      <c r="D57" s="33" t="inlineStr">
        <is>
          <t>FY22</t>
        </is>
      </c>
      <c r="E57" s="33" t="inlineStr">
        <is>
          <t>FY23</t>
        </is>
      </c>
      <c r="F57" s="33" t="inlineStr">
        <is>
          <t>FY24</t>
        </is>
      </c>
      <c r="G57" s="33" t="inlineStr">
        <is>
          <t>FY25</t>
        </is>
      </c>
    </row>
    <row r="58">
      <c r="A58" s="24" t="inlineStr">
        <is>
          <t>Net income (IDR tn)</t>
        </is>
      </c>
      <c r="B58" s="9" t="n">
        <v>18.7</v>
      </c>
      <c r="C58" s="9" t="n">
        <v>30.8</v>
      </c>
      <c r="D58" s="9" t="n">
        <v>51.4</v>
      </c>
      <c r="E58" s="9" t="n">
        <v>60.1</v>
      </c>
      <c r="F58" s="9" t="n">
        <v>60.2</v>
      </c>
      <c r="G58" s="9" t="n">
        <v>54.5</v>
      </c>
    </row>
    <row r="59">
      <c r="A59" s="24" t="inlineStr">
        <is>
          <t>Total equity (IDR tn)</t>
        </is>
      </c>
      <c r="B59" s="9" t="n">
        <v>200</v>
      </c>
      <c r="C59" s="9" t="n">
        <v>292</v>
      </c>
      <c r="D59" s="9" t="n">
        <v>304</v>
      </c>
      <c r="E59" s="9" t="n">
        <v>318</v>
      </c>
      <c r="F59" s="9" t="n">
        <v>345</v>
      </c>
      <c r="G59" s="9" t="n">
        <v>336</v>
      </c>
    </row>
    <row r="60">
      <c r="A60" s="24" t="inlineStr">
        <is>
          <t>Total assets (IDR tn)</t>
        </is>
      </c>
      <c r="B60" s="9" t="n">
        <v>1512</v>
      </c>
      <c r="C60" s="9" t="n">
        <v>1678</v>
      </c>
      <c r="D60" s="9" t="n">
        <v>1865</v>
      </c>
      <c r="E60" s="9" t="n">
        <v>1965</v>
      </c>
      <c r="F60" s="9" t="n">
        <v>2095</v>
      </c>
      <c r="G60" s="9" t="n">
        <v>2140</v>
      </c>
    </row>
    <row r="61">
      <c r="A61" s="24" t="inlineStr">
        <is>
          <t>EPS (IDR)</t>
        </is>
      </c>
      <c r="B61" s="8" t="n">
        <v>123.3842925857257</v>
      </c>
      <c r="C61" s="8" t="n">
        <v>203.2211877882541</v>
      </c>
      <c r="D61" s="8" t="n">
        <v>339.1418523479305</v>
      </c>
      <c r="E61" s="8" t="n">
        <v>396.5452398075997</v>
      </c>
      <c r="F61" s="8" t="n">
        <v>397.2050488588603</v>
      </c>
      <c r="G61" s="8" t="n">
        <v>359.5959329370081</v>
      </c>
    </row>
    <row r="62">
      <c r="A62" s="24" t="inlineStr">
        <is>
          <t>BVPS (IDR)</t>
        </is>
      </c>
      <c r="B62" s="8" t="n">
        <v>1319.61810252113</v>
      </c>
      <c r="C62" s="8" t="n">
        <v>1926.64242968085</v>
      </c>
      <c r="D62" s="8" t="n">
        <v>2005.819515832118</v>
      </c>
      <c r="E62" s="8" t="n">
        <v>2098.192783008597</v>
      </c>
      <c r="F62" s="8" t="n">
        <v>2276.34122684895</v>
      </c>
      <c r="G62" s="8" t="n">
        <v>2216.958412235499</v>
      </c>
    </row>
    <row r="63">
      <c r="A63" s="24" t="inlineStr">
        <is>
          <t>DPS (IDR)</t>
        </is>
      </c>
      <c r="B63" s="8" t="n">
        <v>120</v>
      </c>
      <c r="C63" s="8" t="n">
        <v>98</v>
      </c>
      <c r="D63" s="8" t="n">
        <v>174</v>
      </c>
      <c r="E63" s="8" t="n">
        <v>289</v>
      </c>
      <c r="F63" s="8" t="n">
        <v>319</v>
      </c>
      <c r="G63" s="8" t="n">
        <v>345</v>
      </c>
    </row>
    <row r="64">
      <c r="A64" s="24" t="inlineStr">
        <is>
          <t>ROE (avg equity)</t>
        </is>
      </c>
      <c r="B64" s="11" t="n">
        <v>9.166666666666666</v>
      </c>
      <c r="C64" s="11" t="n">
        <v>12.52032520325203</v>
      </c>
      <c r="D64" s="11" t="n">
        <v>17.24832214765101</v>
      </c>
      <c r="E64" s="11" t="n">
        <v>19.32475884244373</v>
      </c>
      <c r="F64" s="11" t="n">
        <v>18.15987933634992</v>
      </c>
      <c r="G64" s="11" t="n">
        <v>16.00587371512482</v>
      </c>
    </row>
    <row r="65">
      <c r="A65" s="24" t="inlineStr">
        <is>
          <t>ROA (avg assets)</t>
        </is>
      </c>
      <c r="B65" s="12" t="n">
        <v>1.276886309320587</v>
      </c>
      <c r="C65" s="12" t="n">
        <v>1.931034482758621</v>
      </c>
      <c r="D65" s="12" t="n">
        <v>2.901495907423088</v>
      </c>
      <c r="E65" s="12" t="n">
        <v>3.138381201044386</v>
      </c>
      <c r="F65" s="12" t="n">
        <v>2.96551724137931</v>
      </c>
      <c r="G65" s="12" t="n">
        <v>2.573789846517119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</cols>
  <sheetData>
    <row r="1">
      <c r="A1" s="1" t="inlineStr">
        <is>
          <t>BMRI — PT Bank Mandiri (Persero) Tbk</t>
        </is>
      </c>
    </row>
    <row r="2">
      <c r="A2" s="2" t="inlineStr">
        <is>
          <t>As of 20 Jul 2026  |  SAMPLE / illustrative data — NOT for publication. Run refresh.py with live data before sharing.  |  Ricky Reinaldo | Indonesian Equity Research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23" t="inlineStr">
        <is>
          <t>MARKET DATA &amp; VALUATION</t>
        </is>
      </c>
    </row>
    <row r="5">
      <c r="A5" s="24" t="inlineStr">
        <is>
          <t>Last close (IDR)</t>
        </is>
      </c>
      <c r="B5" s="25" t="n">
        <v>5300</v>
      </c>
    </row>
    <row r="6">
      <c r="A6" s="24" t="inlineStr">
        <is>
          <t>52-week high / low</t>
        </is>
      </c>
      <c r="B6" s="26" t="inlineStr">
        <is>
          <t>5,625 / 4,730</t>
        </is>
      </c>
    </row>
    <row r="7">
      <c r="A7" s="24" t="inlineStr">
        <is>
          <t>Market cap (IDR tn)</t>
        </is>
      </c>
      <c r="B7" s="27" t="n">
        <v>494.6649</v>
      </c>
    </row>
    <row r="8">
      <c r="A8" s="24" t="inlineStr">
        <is>
          <t>EPS FY25 (IDR)</t>
        </is>
      </c>
      <c r="B8" s="25" t="n">
        <v>565.7163061296648</v>
      </c>
    </row>
    <row r="9">
      <c r="A9" s="24" t="inlineStr">
        <is>
          <t>BVPS FY25 (IDR)</t>
        </is>
      </c>
      <c r="B9" s="25" t="n">
        <v>3128.582602080722</v>
      </c>
    </row>
    <row r="10">
      <c r="A10" s="24" t="inlineStr">
        <is>
          <t>DPS FY25 (IDR)</t>
        </is>
      </c>
      <c r="B10" s="25" t="n">
        <v>358</v>
      </c>
    </row>
    <row r="11">
      <c r="A11" s="24" t="inlineStr">
        <is>
          <t>P/E FY25</t>
        </is>
      </c>
      <c r="B11" s="28" t="n">
        <v>9.368653409090909</v>
      </c>
    </row>
    <row r="12">
      <c r="A12" s="24" t="inlineStr">
        <is>
          <t>P/E FY+1E (own est.)</t>
        </is>
      </c>
      <c r="B12" s="28" t="n">
        <v>8.833333333333334</v>
      </c>
    </row>
    <row r="13">
      <c r="A13" s="24" t="inlineStr">
        <is>
          <t>P/B</t>
        </is>
      </c>
      <c r="B13" s="28" t="n">
        <v>1.694057876712329</v>
      </c>
    </row>
    <row r="14">
      <c r="A14" s="24" t="inlineStr">
        <is>
          <t>Dividend yield</t>
        </is>
      </c>
      <c r="B14" s="29" t="n">
        <v>6.754716981132075</v>
      </c>
    </row>
    <row r="15">
      <c r="A15" s="24" t="inlineStr"/>
      <c r="B15" s="26" t="inlineStr"/>
    </row>
    <row r="16">
      <c r="A16" s="24" t="inlineStr">
        <is>
          <t>Residual income fair value (IDR)</t>
        </is>
      </c>
      <c r="B16" s="25" t="n">
        <v>6319</v>
      </c>
    </row>
    <row r="17">
      <c r="A17" s="24" t="inlineStr">
        <is>
          <t>DDM cross-check (IDR)</t>
        </is>
      </c>
      <c r="B17" s="25" t="n">
        <v>6319</v>
      </c>
    </row>
    <row r="18">
      <c r="A18" s="24" t="inlineStr">
        <is>
          <t>Implied P/B at RI fair value</t>
        </is>
      </c>
      <c r="B18" s="28" t="n">
        <v>2.0197781029078</v>
      </c>
    </row>
    <row r="19">
      <c r="A19" s="24" t="inlineStr">
        <is>
          <t>Upside / (downside)</t>
        </is>
      </c>
      <c r="B19" s="29" t="n">
        <v>19.22721948718771</v>
      </c>
    </row>
    <row r="20">
      <c r="A20" s="24" t="inlineStr">
        <is>
          <t>Cost of equity (CAPM)</t>
        </is>
      </c>
      <c r="B20" s="30" t="n">
        <v>11.65</v>
      </c>
    </row>
    <row r="22">
      <c r="A22" s="23" t="inlineStr">
        <is>
          <t>FORWARD ESTIMATES &amp; CONSENSUS</t>
        </is>
      </c>
    </row>
    <row r="23">
      <c r="A23" s="24" t="inlineStr">
        <is>
          <t>Forward EPS FY+1E, own est. (IDR)</t>
        </is>
      </c>
      <c r="B23" s="25" t="n">
        <v>600</v>
      </c>
    </row>
    <row r="24">
      <c r="A24" s="24" t="inlineStr">
        <is>
          <t>Forward net income, own est. (IDR tn)</t>
        </is>
      </c>
      <c r="B24" s="27" t="n">
        <v>55.9998</v>
      </c>
    </row>
    <row r="25">
      <c r="A25" s="24" t="inlineStr">
        <is>
          <t>EPS growth YoY, own est.</t>
        </is>
      </c>
      <c r="B25" s="29" t="n">
        <v>6.060227272727281</v>
      </c>
    </row>
    <row r="26">
      <c r="A26" s="24" t="inlineStr">
        <is>
          <t>Forward P/E, own est.</t>
        </is>
      </c>
      <c r="B26" s="28" t="n">
        <v>8.833333333333334</v>
      </c>
    </row>
    <row r="27">
      <c r="A27" s="24" t="inlineStr">
        <is>
          <t>RI-model year-1 EPS (cross-check)</t>
        </is>
      </c>
      <c r="B27" s="25" t="n">
        <v>579</v>
      </c>
    </row>
    <row r="28">
      <c r="A28" s="24" t="inlineStr"/>
      <c r="B28" s="26" t="inlineStr"/>
    </row>
    <row r="29">
      <c r="A29" s="24" t="inlineStr">
        <is>
          <t>Consensus mean target (IDR) [SAMPLE]</t>
        </is>
      </c>
      <c r="B29" s="25" t="n">
        <v>6300</v>
      </c>
    </row>
    <row r="30">
      <c r="A30" s="24" t="inlineStr">
        <is>
          <t>Upside to consensus target</t>
        </is>
      </c>
      <c r="B30" s="29" t="n">
        <v>18.86792452830188</v>
      </c>
    </row>
    <row r="31">
      <c r="A31" s="24" t="inlineStr">
        <is>
          <t>Consensus analysts / rating</t>
        </is>
      </c>
      <c r="B31" s="26" t="inlineStr">
        <is>
          <t>33 / buy</t>
        </is>
      </c>
    </row>
    <row r="32">
      <c r="A32" s="24" t="inlineStr">
        <is>
          <t>Consensus forward P/E</t>
        </is>
      </c>
      <c r="B32" s="28" t="n">
        <v>8.617886178861788</v>
      </c>
    </row>
    <row r="33">
      <c r="A33" s="24" t="inlineStr">
        <is>
          <t>Consensus source</t>
        </is>
      </c>
      <c r="B33" s="26" t="inlineStr">
        <is>
          <t>SAMPLE_SEED</t>
        </is>
      </c>
    </row>
    <row r="35">
      <c r="A35" s="23" t="inlineStr">
        <is>
          <t>FOREIGN FLOW MONITOR (net foreign buy value)</t>
        </is>
      </c>
    </row>
    <row r="36">
      <c r="A36" s="24" t="inlineStr">
        <is>
          <t>Net foreign flow 1W (IDR tn)</t>
        </is>
      </c>
      <c r="B36" s="31" t="n">
        <v>-0.4857</v>
      </c>
    </row>
    <row r="37">
      <c r="A37" s="24" t="inlineStr">
        <is>
          <t>Net foreign flow 1M (IDR tn)</t>
        </is>
      </c>
      <c r="B37" s="31" t="n">
        <v>-0.4369</v>
      </c>
    </row>
    <row r="38">
      <c r="A38" s="24" t="inlineStr">
        <is>
          <t>Net foreign flow 3M (IDR tn)</t>
        </is>
      </c>
      <c r="B38" s="31" t="n">
        <v>0.04049999999999995</v>
      </c>
    </row>
    <row r="39">
      <c r="A39" s="24" t="inlineStr">
        <is>
          <t>Net foreign flow 6M (IDR tn)</t>
        </is>
      </c>
      <c r="B39" s="31" t="n">
        <v>-0.8613</v>
      </c>
    </row>
    <row r="40">
      <c r="A40" s="24" t="inlineStr">
        <is>
          <t>Net foreign flow YTD (IDR tn)</t>
        </is>
      </c>
      <c r="B40" s="31" t="n">
        <v>0.1002999999999995</v>
      </c>
    </row>
    <row r="41">
      <c r="A41" s="24" t="inlineStr">
        <is>
          <t>Net foreign flow 12M (IDR tn)</t>
        </is>
      </c>
      <c r="B41" s="31" t="n">
        <v>-2.1046</v>
      </c>
    </row>
    <row r="42">
      <c r="A42" s="24" t="inlineStr">
        <is>
          <t>Corr(daily flow, daily return), 1Y</t>
        </is>
      </c>
      <c r="B42" s="32" t="n">
        <v>0.5874677330337728</v>
      </c>
    </row>
    <row r="43">
      <c r="A43" s="24" t="inlineStr">
        <is>
          <t>Corr(weekly flow, weekly return), 1Y</t>
        </is>
      </c>
      <c r="B43" s="32" t="n">
        <v>0.614936845578688</v>
      </c>
    </row>
    <row r="44">
      <c r="A44" s="24" t="inlineStr">
        <is>
          <t>Flow data through</t>
        </is>
      </c>
      <c r="B44" s="26" t="inlineStr">
        <is>
          <t>2026-07-20</t>
        </is>
      </c>
    </row>
    <row r="46">
      <c r="A46" s="23" t="inlineStr">
        <is>
          <t>KEY BANK METRICS BY QUARTER (manual layer — investor presentations)</t>
        </is>
      </c>
    </row>
    <row r="47">
      <c r="A47" s="4" t="inlineStr">
        <is>
          <t>Metric</t>
        </is>
      </c>
      <c r="B47" s="33" t="inlineStr">
        <is>
          <t>2024Q2</t>
        </is>
      </c>
      <c r="C47" s="33" t="inlineStr">
        <is>
          <t>2024Q3</t>
        </is>
      </c>
      <c r="D47" s="33" t="inlineStr">
        <is>
          <t>2024Q4</t>
        </is>
      </c>
      <c r="E47" s="33" t="inlineStr">
        <is>
          <t>2025Q1</t>
        </is>
      </c>
      <c r="F47" s="33" t="inlineStr">
        <is>
          <t>2025Q2</t>
        </is>
      </c>
      <c r="G47" s="33" t="inlineStr">
        <is>
          <t>2025Q3</t>
        </is>
      </c>
      <c r="H47" s="33" t="inlineStr">
        <is>
          <t>2025Q4</t>
        </is>
      </c>
      <c r="I47" s="33" t="inlineStr">
        <is>
          <t>2026Q1</t>
        </is>
      </c>
    </row>
    <row r="48">
      <c r="A48" s="24" t="inlineStr">
        <is>
          <t>NIM</t>
        </is>
      </c>
      <c r="B48" s="11" t="n">
        <v>5.1</v>
      </c>
      <c r="C48" s="11" t="n">
        <v>5.1</v>
      </c>
      <c r="D48" s="11" t="n">
        <v>5</v>
      </c>
      <c r="E48" s="11" t="n">
        <v>4.9</v>
      </c>
      <c r="F48" s="11" t="n">
        <v>4.8</v>
      </c>
      <c r="G48" s="11" t="n">
        <v>4.8</v>
      </c>
      <c r="H48" s="11" t="n">
        <v>4.9</v>
      </c>
      <c r="I48" s="11" t="n">
        <v>4.9</v>
      </c>
    </row>
    <row r="49">
      <c r="A49" s="24" t="inlineStr">
        <is>
          <t>CASA ratio</t>
        </is>
      </c>
      <c r="B49" s="11" t="n">
        <v>74.5</v>
      </c>
      <c r="C49" s="11" t="n">
        <v>75</v>
      </c>
      <c r="D49" s="11" t="n">
        <v>75.5</v>
      </c>
      <c r="E49" s="11" t="n">
        <v>75.8</v>
      </c>
      <c r="F49" s="11" t="n">
        <v>76</v>
      </c>
      <c r="G49" s="11" t="n">
        <v>76.40000000000001</v>
      </c>
      <c r="H49" s="11" t="n">
        <v>76.8</v>
      </c>
      <c r="I49" s="11" t="n">
        <v>77</v>
      </c>
    </row>
    <row r="50">
      <c r="A50" s="24" t="inlineStr">
        <is>
          <t>NPL ratio</t>
        </is>
      </c>
      <c r="B50" s="11" t="n">
        <v>1</v>
      </c>
      <c r="C50" s="11" t="n">
        <v>1</v>
      </c>
      <c r="D50" s="11" t="n">
        <v>1.1</v>
      </c>
      <c r="E50" s="11" t="n">
        <v>1.2</v>
      </c>
      <c r="F50" s="11" t="n">
        <v>1.2</v>
      </c>
      <c r="G50" s="11" t="n">
        <v>1.1</v>
      </c>
      <c r="H50" s="11" t="n">
        <v>1.1</v>
      </c>
      <c r="I50" s="11" t="n">
        <v>1.1</v>
      </c>
    </row>
    <row r="51">
      <c r="A51" s="24" t="inlineStr">
        <is>
          <t>CAR</t>
        </is>
      </c>
      <c r="B51" s="11" t="n">
        <v>20.1</v>
      </c>
      <c r="C51" s="11" t="n">
        <v>20.3</v>
      </c>
      <c r="D51" s="11" t="n">
        <v>20.5</v>
      </c>
      <c r="E51" s="11" t="n">
        <v>20.2</v>
      </c>
      <c r="F51" s="11" t="n">
        <v>20.4</v>
      </c>
      <c r="G51" s="11" t="n">
        <v>20.6</v>
      </c>
      <c r="H51" s="11" t="n">
        <v>20.8</v>
      </c>
      <c r="I51" s="11" t="n">
        <v>21</v>
      </c>
    </row>
    <row r="52">
      <c r="A52" s="24" t="inlineStr">
        <is>
          <t>Loan growth YoY</t>
        </is>
      </c>
      <c r="B52" s="11" t="n">
        <v>20.5</v>
      </c>
      <c r="C52" s="11" t="n">
        <v>20.8</v>
      </c>
      <c r="D52" s="11" t="n">
        <v>19.5</v>
      </c>
      <c r="E52" s="11" t="n">
        <v>16.5</v>
      </c>
      <c r="F52" s="11" t="n">
        <v>11.5</v>
      </c>
      <c r="G52" s="11" t="n">
        <v>9</v>
      </c>
      <c r="H52" s="11" t="n">
        <v>7.5</v>
      </c>
      <c r="I52" s="11" t="n">
        <v>7</v>
      </c>
    </row>
    <row r="53">
      <c r="A53" s="24" t="inlineStr">
        <is>
          <t>Cost of credit</t>
        </is>
      </c>
      <c r="B53" s="12" t="n">
        <v>0.9</v>
      </c>
      <c r="C53" s="12" t="n">
        <v>0.8</v>
      </c>
      <c r="D53" s="12" t="n">
        <v>0.8</v>
      </c>
      <c r="E53" s="12" t="n">
        <v>0.9</v>
      </c>
      <c r="F53" s="12" t="n">
        <v>0.9</v>
      </c>
      <c r="G53" s="12" t="n">
        <v>0.8</v>
      </c>
      <c r="H53" s="12" t="n">
        <v>0.8</v>
      </c>
      <c r="I53" s="12" t="n">
        <v>0.8</v>
      </c>
    </row>
    <row r="54">
      <c r="A54" s="24" t="inlineStr">
        <is>
          <t>Cost/income</t>
        </is>
      </c>
      <c r="B54" s="11" t="n">
        <v>36</v>
      </c>
      <c r="C54" s="11" t="n">
        <v>36.2</v>
      </c>
      <c r="D54" s="11" t="n">
        <v>36.8</v>
      </c>
      <c r="E54" s="11" t="n">
        <v>37.2</v>
      </c>
      <c r="F54" s="11" t="n">
        <v>37.8</v>
      </c>
      <c r="G54" s="11" t="n">
        <v>38</v>
      </c>
      <c r="H54" s="11" t="n">
        <v>38.2</v>
      </c>
      <c r="I54" s="11" t="n">
        <v>38.5</v>
      </c>
    </row>
    <row r="56">
      <c r="A56" s="23" t="inlineStr">
        <is>
          <t>ANNUAL FINANCIALS (yfinance cache)</t>
        </is>
      </c>
    </row>
    <row r="57">
      <c r="A57" s="4" t="inlineStr">
        <is>
          <t>FY</t>
        </is>
      </c>
      <c r="B57" s="33" t="inlineStr">
        <is>
          <t>FY20</t>
        </is>
      </c>
      <c r="C57" s="33" t="inlineStr">
        <is>
          <t>FY21</t>
        </is>
      </c>
      <c r="D57" s="33" t="inlineStr">
        <is>
          <t>FY22</t>
        </is>
      </c>
      <c r="E57" s="33" t="inlineStr">
        <is>
          <t>FY23</t>
        </is>
      </c>
      <c r="F57" s="33" t="inlineStr">
        <is>
          <t>FY24</t>
        </is>
      </c>
      <c r="G57" s="33" t="inlineStr">
        <is>
          <t>FY25</t>
        </is>
      </c>
    </row>
    <row r="58">
      <c r="A58" s="24" t="inlineStr">
        <is>
          <t>Net income (IDR tn)</t>
        </is>
      </c>
      <c r="B58" s="9" t="n">
        <v>17.1</v>
      </c>
      <c r="C58" s="9" t="n">
        <v>28</v>
      </c>
      <c r="D58" s="9" t="n">
        <v>41.2</v>
      </c>
      <c r="E58" s="9" t="n">
        <v>55.1</v>
      </c>
      <c r="F58" s="9" t="n">
        <v>55.8</v>
      </c>
      <c r="G58" s="9" t="n">
        <v>52.8</v>
      </c>
    </row>
    <row r="59">
      <c r="A59" s="24" t="inlineStr">
        <is>
          <t>Total equity (IDR tn)</t>
        </is>
      </c>
      <c r="B59" s="9" t="n">
        <v>193</v>
      </c>
      <c r="C59" s="9" t="n">
        <v>222</v>
      </c>
      <c r="D59" s="9" t="n">
        <v>229</v>
      </c>
      <c r="E59" s="9" t="n">
        <v>253</v>
      </c>
      <c r="F59" s="9" t="n">
        <v>277</v>
      </c>
      <c r="G59" s="9" t="n">
        <v>292</v>
      </c>
    </row>
    <row r="60">
      <c r="A60" s="24" t="inlineStr">
        <is>
          <t>Total assets (IDR tn)</t>
        </is>
      </c>
      <c r="B60" s="9" t="n">
        <v>1430</v>
      </c>
      <c r="C60" s="9" t="n">
        <v>1726</v>
      </c>
      <c r="D60" s="9" t="n">
        <v>1992</v>
      </c>
      <c r="E60" s="9" t="n">
        <v>2174</v>
      </c>
      <c r="F60" s="9" t="n">
        <v>2427</v>
      </c>
      <c r="G60" s="9" t="n">
        <v>2510</v>
      </c>
    </row>
    <row r="61">
      <c r="A61" s="24" t="inlineStr">
        <is>
          <t>EPS (IDR)</t>
        </is>
      </c>
      <c r="B61" s="8" t="n">
        <v>183.2149400533574</v>
      </c>
      <c r="C61" s="8" t="n">
        <v>300.001071432398</v>
      </c>
      <c r="D61" s="8" t="n">
        <v>441.4301479648142</v>
      </c>
      <c r="E61" s="8" t="n">
        <v>590.3592512830403</v>
      </c>
      <c r="F61" s="8" t="n">
        <v>597.8592780688502</v>
      </c>
      <c r="G61" s="8" t="n">
        <v>565.7163061296648</v>
      </c>
    </row>
    <row r="62">
      <c r="A62" s="24" t="inlineStr">
        <is>
          <t>BVPS (IDR)</t>
        </is>
      </c>
      <c r="B62" s="8" t="n">
        <v>2067.8645280876</v>
      </c>
      <c r="C62" s="8" t="n">
        <v>2378.579923499727</v>
      </c>
      <c r="D62" s="8" t="n">
        <v>2453.580191357826</v>
      </c>
      <c r="E62" s="8" t="n">
        <v>2710.72396687131</v>
      </c>
      <c r="F62" s="8" t="n">
        <v>2967.867742384794</v>
      </c>
      <c r="G62" s="8" t="n">
        <v>3128.582602080722</v>
      </c>
    </row>
    <row r="63">
      <c r="A63" s="24" t="inlineStr">
        <is>
          <t>DPS (IDR)</t>
        </is>
      </c>
      <c r="B63" s="8" t="n">
        <v>110</v>
      </c>
      <c r="C63" s="8" t="n">
        <v>132</v>
      </c>
      <c r="D63" s="8" t="n">
        <v>180</v>
      </c>
      <c r="E63" s="8" t="n">
        <v>265</v>
      </c>
      <c r="F63" s="8" t="n">
        <v>353</v>
      </c>
      <c r="G63" s="8" t="n">
        <v>358</v>
      </c>
    </row>
    <row r="64">
      <c r="A64" s="24" t="inlineStr">
        <is>
          <t>ROE (avg equity)</t>
        </is>
      </c>
      <c r="B64" s="11" t="n">
        <v>8.814432989690722</v>
      </c>
      <c r="C64" s="11" t="n">
        <v>13.49397590361446</v>
      </c>
      <c r="D64" s="11" t="n">
        <v>18.27050997782705</v>
      </c>
      <c r="E64" s="11" t="n">
        <v>22.86307053941909</v>
      </c>
      <c r="F64" s="11" t="n">
        <v>21.05660377358491</v>
      </c>
      <c r="G64" s="11" t="n">
        <v>18.55887521968366</v>
      </c>
    </row>
    <row r="65">
      <c r="A65" s="24" t="inlineStr">
        <is>
          <t>ROA (avg assets)</t>
        </is>
      </c>
      <c r="B65" s="12" t="n">
        <v>1.244541484716157</v>
      </c>
      <c r="C65" s="12" t="n">
        <v>1.774397972116603</v>
      </c>
      <c r="D65" s="12" t="n">
        <v>2.21624529316837</v>
      </c>
      <c r="E65" s="12" t="n">
        <v>2.645223235717715</v>
      </c>
      <c r="F65" s="12" t="n">
        <v>2.425559660943273</v>
      </c>
      <c r="G65" s="12" t="n">
        <v>2.138950779825805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</cols>
  <sheetData>
    <row r="1">
      <c r="A1" s="1" t="inlineStr">
        <is>
          <t>BBNI — PT Bank Negara Indonesia (Persero) Tbk</t>
        </is>
      </c>
    </row>
    <row r="2">
      <c r="A2" s="2" t="inlineStr">
        <is>
          <t>As of 20 Jul 2026  |  SAMPLE / illustrative data — NOT for publication. Run refresh.py with live data before sharing.  |  Ricky Reinaldo | Indonesian Equity Research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23" t="inlineStr">
        <is>
          <t>MARKET DATA &amp; VALUATION</t>
        </is>
      </c>
    </row>
    <row r="5">
      <c r="A5" s="24" t="inlineStr">
        <is>
          <t>Last close (IDR)</t>
        </is>
      </c>
      <c r="B5" s="25" t="n">
        <v>4330</v>
      </c>
    </row>
    <row r="6">
      <c r="A6" s="24" t="inlineStr">
        <is>
          <t>52-week high / low</t>
        </is>
      </c>
      <c r="B6" s="26" t="inlineStr">
        <is>
          <t>4,820 / 3,680</t>
        </is>
      </c>
    </row>
    <row r="7">
      <c r="A7" s="24" t="inlineStr">
        <is>
          <t>Market cap (IDR tn)</t>
        </is>
      </c>
      <c r="B7" s="27" t="n">
        <v>161.49601</v>
      </c>
    </row>
    <row r="8">
      <c r="A8" s="24" t="inlineStr">
        <is>
          <t>EPS FY25 (IDR)</t>
        </is>
      </c>
      <c r="B8" s="25" t="n">
        <v>568.4103279084109</v>
      </c>
    </row>
    <row r="9">
      <c r="A9" s="24" t="inlineStr">
        <is>
          <t>BVPS FY25 (IDR)</t>
        </is>
      </c>
      <c r="B9" s="25" t="n">
        <v>4316.701075153497</v>
      </c>
    </row>
    <row r="10">
      <c r="A10" s="24" t="inlineStr">
        <is>
          <t>DPS FY25 (IDR)</t>
        </is>
      </c>
      <c r="B10" s="25" t="n">
        <v>374</v>
      </c>
    </row>
    <row r="11">
      <c r="A11" s="24" t="inlineStr">
        <is>
          <t>P/E FY25</t>
        </is>
      </c>
      <c r="B11" s="28" t="n">
        <v>7.617736320754717</v>
      </c>
    </row>
    <row r="12">
      <c r="A12" s="24" t="inlineStr">
        <is>
          <t>P/E FY+1E (own est.)</t>
        </is>
      </c>
      <c r="B12" s="28" t="n">
        <v>7.204658901830283</v>
      </c>
    </row>
    <row r="13">
      <c r="A13" s="24" t="inlineStr">
        <is>
          <t>P/B</t>
        </is>
      </c>
      <c r="B13" s="28" t="n">
        <v>1.003080807453416</v>
      </c>
    </row>
    <row r="14">
      <c r="A14" s="24" t="inlineStr">
        <is>
          <t>Dividend yield</t>
        </is>
      </c>
      <c r="B14" s="29" t="n">
        <v>8.637413394919168</v>
      </c>
    </row>
    <row r="15">
      <c r="A15" s="24" t="inlineStr"/>
      <c r="B15" s="26" t="inlineStr"/>
    </row>
    <row r="16">
      <c r="A16" s="24" t="inlineStr">
        <is>
          <t>Residual income fair value (IDR)</t>
        </is>
      </c>
      <c r="B16" s="25" t="n">
        <v>5423</v>
      </c>
    </row>
    <row r="17">
      <c r="A17" s="24" t="inlineStr">
        <is>
          <t>DDM cross-check (IDR)</t>
        </is>
      </c>
      <c r="B17" s="25" t="n">
        <v>5423</v>
      </c>
    </row>
    <row r="18">
      <c r="A18" s="24" t="inlineStr">
        <is>
          <t>Implied P/B at RI fair value</t>
        </is>
      </c>
      <c r="B18" s="28" t="n">
        <v>1.256376884967973</v>
      </c>
    </row>
    <row r="19">
      <c r="A19" s="24" t="inlineStr">
        <is>
          <t>Upside / (downside)</t>
        </is>
      </c>
      <c r="B19" s="29" t="n">
        <v>25.25181178150695</v>
      </c>
    </row>
    <row r="20">
      <c r="A20" s="24" t="inlineStr">
        <is>
          <t>Cost of equity (CAPM)</t>
        </is>
      </c>
      <c r="B20" s="30" t="n">
        <v>11.65</v>
      </c>
    </row>
    <row r="22">
      <c r="A22" s="23" t="inlineStr">
        <is>
          <t>FORWARD ESTIMATES &amp; CONSENSUS</t>
        </is>
      </c>
    </row>
    <row r="23">
      <c r="A23" s="24" t="inlineStr">
        <is>
          <t>Forward EPS FY+1E, own est. (IDR)</t>
        </is>
      </c>
      <c r="B23" s="25" t="n">
        <v>601</v>
      </c>
    </row>
    <row r="24">
      <c r="A24" s="24" t="inlineStr">
        <is>
          <t>Forward net income, own est. (IDR tn)</t>
        </is>
      </c>
      <c r="B24" s="27" t="n">
        <v>22.415497</v>
      </c>
    </row>
    <row r="25">
      <c r="A25" s="24" t="inlineStr">
        <is>
          <t>EPS growth YoY, own est.</t>
        </is>
      </c>
      <c r="B25" s="29" t="n">
        <v>5.733476415094341</v>
      </c>
    </row>
    <row r="26">
      <c r="A26" s="24" t="inlineStr">
        <is>
          <t>Forward P/E, own est.</t>
        </is>
      </c>
      <c r="B26" s="28" t="n">
        <v>7.204658901830283</v>
      </c>
    </row>
    <row r="27">
      <c r="A27" s="24" t="inlineStr">
        <is>
          <t>RI-model year-1 EPS (cross-check)</t>
        </is>
      </c>
      <c r="B27" s="25" t="n">
        <v>561</v>
      </c>
    </row>
    <row r="28">
      <c r="A28" s="24" t="inlineStr"/>
      <c r="B28" s="26" t="inlineStr"/>
    </row>
    <row r="29">
      <c r="A29" s="24" t="inlineStr">
        <is>
          <t>Consensus mean target (IDR) [SAMPLE]</t>
        </is>
      </c>
      <c r="B29" s="25" t="n">
        <v>5000</v>
      </c>
    </row>
    <row r="30">
      <c r="A30" s="24" t="inlineStr">
        <is>
          <t>Upside to consensus target</t>
        </is>
      </c>
      <c r="B30" s="29" t="n">
        <v>15.47344110854503</v>
      </c>
    </row>
    <row r="31">
      <c r="A31" s="24" t="inlineStr">
        <is>
          <t>Consensus analysts / rating</t>
        </is>
      </c>
      <c r="B31" s="26" t="inlineStr">
        <is>
          <t>32 / hold</t>
        </is>
      </c>
    </row>
    <row r="32">
      <c r="A32" s="24" t="inlineStr">
        <is>
          <t>Consensus forward P/E</t>
        </is>
      </c>
      <c r="B32" s="28" t="n">
        <v>7.040650406504065</v>
      </c>
    </row>
    <row r="33">
      <c r="A33" s="24" t="inlineStr">
        <is>
          <t>Consensus source</t>
        </is>
      </c>
      <c r="B33" s="26" t="inlineStr">
        <is>
          <t>SAMPLE_SEED</t>
        </is>
      </c>
    </row>
    <row r="35">
      <c r="A35" s="23" t="inlineStr">
        <is>
          <t>FOREIGN FLOW MONITOR (net foreign buy value)</t>
        </is>
      </c>
    </row>
    <row r="36">
      <c r="A36" s="24" t="inlineStr">
        <is>
          <t>Net foreign flow 1W (IDR tn)</t>
        </is>
      </c>
      <c r="B36" s="31" t="n">
        <v>0.1599</v>
      </c>
    </row>
    <row r="37">
      <c r="A37" s="24" t="inlineStr">
        <is>
          <t>Net foreign flow 1M (IDR tn)</t>
        </is>
      </c>
      <c r="B37" s="31" t="n">
        <v>-0.2817</v>
      </c>
    </row>
    <row r="38">
      <c r="A38" s="24" t="inlineStr">
        <is>
          <t>Net foreign flow 3M (IDR tn)</t>
        </is>
      </c>
      <c r="B38" s="31" t="n">
        <v>-0.3903999999999999</v>
      </c>
    </row>
    <row r="39">
      <c r="A39" s="24" t="inlineStr">
        <is>
          <t>Net foreign flow 6M (IDR tn)</t>
        </is>
      </c>
      <c r="B39" s="31" t="n">
        <v>0.7829000000000004</v>
      </c>
    </row>
    <row r="40">
      <c r="A40" s="24" t="inlineStr">
        <is>
          <t>Net foreign flow YTD (IDR tn)</t>
        </is>
      </c>
      <c r="B40" s="31" t="n">
        <v>-0.02489999999999992</v>
      </c>
    </row>
    <row r="41">
      <c r="A41" s="24" t="inlineStr">
        <is>
          <t>Net foreign flow 12M (IDR tn)</t>
        </is>
      </c>
      <c r="B41" s="31" t="n">
        <v>1.7361</v>
      </c>
    </row>
    <row r="42">
      <c r="A42" s="24" t="inlineStr">
        <is>
          <t>Corr(daily flow, daily return), 1Y</t>
        </is>
      </c>
      <c r="B42" s="32" t="n">
        <v>0.5952593607103086</v>
      </c>
    </row>
    <row r="43">
      <c r="A43" s="24" t="inlineStr">
        <is>
          <t>Corr(weekly flow, weekly return), 1Y</t>
        </is>
      </c>
      <c r="B43" s="32" t="n">
        <v>0.4554078039524898</v>
      </c>
    </row>
    <row r="44">
      <c r="A44" s="24" t="inlineStr">
        <is>
          <t>Flow data through</t>
        </is>
      </c>
      <c r="B44" s="26" t="inlineStr">
        <is>
          <t>2026-07-20</t>
        </is>
      </c>
    </row>
    <row r="46">
      <c r="A46" s="23" t="inlineStr">
        <is>
          <t>KEY BANK METRICS BY QUARTER (manual layer — investor presentations)</t>
        </is>
      </c>
    </row>
    <row r="47">
      <c r="A47" s="4" t="inlineStr">
        <is>
          <t>Metric</t>
        </is>
      </c>
      <c r="B47" s="33" t="inlineStr">
        <is>
          <t>2024Q2</t>
        </is>
      </c>
      <c r="C47" s="33" t="inlineStr">
        <is>
          <t>2024Q3</t>
        </is>
      </c>
      <c r="D47" s="33" t="inlineStr">
        <is>
          <t>2024Q4</t>
        </is>
      </c>
      <c r="E47" s="33" t="inlineStr">
        <is>
          <t>2025Q1</t>
        </is>
      </c>
      <c r="F47" s="33" t="inlineStr">
        <is>
          <t>2025Q2</t>
        </is>
      </c>
      <c r="G47" s="33" t="inlineStr">
        <is>
          <t>2025Q3</t>
        </is>
      </c>
      <c r="H47" s="33" t="inlineStr">
        <is>
          <t>2025Q4</t>
        </is>
      </c>
      <c r="I47" s="33" t="inlineStr">
        <is>
          <t>2026Q1</t>
        </is>
      </c>
    </row>
    <row r="48">
      <c r="A48" s="24" t="inlineStr">
        <is>
          <t>NIM</t>
        </is>
      </c>
      <c r="B48" s="11" t="n">
        <v>4.4</v>
      </c>
      <c r="C48" s="11" t="n">
        <v>4.3</v>
      </c>
      <c r="D48" s="11" t="n">
        <v>4.2</v>
      </c>
      <c r="E48" s="11" t="n">
        <v>4.1</v>
      </c>
      <c r="F48" s="11" t="n">
        <v>4</v>
      </c>
      <c r="G48" s="11" t="n">
        <v>4.1</v>
      </c>
      <c r="H48" s="11" t="n">
        <v>4.2</v>
      </c>
      <c r="I48" s="11" t="n">
        <v>4.2</v>
      </c>
    </row>
    <row r="49">
      <c r="A49" s="24" t="inlineStr">
        <is>
          <t>CASA ratio</t>
        </is>
      </c>
      <c r="B49" s="11" t="n">
        <v>69.5</v>
      </c>
      <c r="C49" s="11" t="n">
        <v>69.8</v>
      </c>
      <c r="D49" s="11" t="n">
        <v>70</v>
      </c>
      <c r="E49" s="11" t="n">
        <v>70.3</v>
      </c>
      <c r="F49" s="11" t="n">
        <v>70.59999999999999</v>
      </c>
      <c r="G49" s="11" t="n">
        <v>70.90000000000001</v>
      </c>
      <c r="H49" s="11" t="n">
        <v>71.2</v>
      </c>
      <c r="I49" s="11" t="n">
        <v>71.5</v>
      </c>
    </row>
    <row r="50">
      <c r="A50" s="24" t="inlineStr">
        <is>
          <t>NPL ratio</t>
        </is>
      </c>
      <c r="B50" s="11" t="n">
        <v>2</v>
      </c>
      <c r="C50" s="11" t="n">
        <v>2</v>
      </c>
      <c r="D50" s="11" t="n">
        <v>2</v>
      </c>
      <c r="E50" s="11" t="n">
        <v>2.1</v>
      </c>
      <c r="F50" s="11" t="n">
        <v>2.1</v>
      </c>
      <c r="G50" s="11" t="n">
        <v>2</v>
      </c>
      <c r="H50" s="11" t="n">
        <v>1.9</v>
      </c>
      <c r="I50" s="11" t="n">
        <v>1.9</v>
      </c>
    </row>
    <row r="51">
      <c r="A51" s="24" t="inlineStr">
        <is>
          <t>CAR</t>
        </is>
      </c>
      <c r="B51" s="11" t="n">
        <v>19.8</v>
      </c>
      <c r="C51" s="11" t="n">
        <v>20</v>
      </c>
      <c r="D51" s="11" t="n">
        <v>20.4</v>
      </c>
      <c r="E51" s="11" t="n">
        <v>20.6</v>
      </c>
      <c r="F51" s="11" t="n">
        <v>20.8</v>
      </c>
      <c r="G51" s="11" t="n">
        <v>21</v>
      </c>
      <c r="H51" s="11" t="n">
        <v>21.3</v>
      </c>
      <c r="I51" s="11" t="n">
        <v>21.5</v>
      </c>
    </row>
    <row r="52">
      <c r="A52" s="24" t="inlineStr">
        <is>
          <t>Loan growth YoY</t>
        </is>
      </c>
      <c r="B52" s="11" t="n">
        <v>11.7</v>
      </c>
      <c r="C52" s="11" t="n">
        <v>9.5</v>
      </c>
      <c r="D52" s="11" t="n">
        <v>10.6</v>
      </c>
      <c r="E52" s="11" t="n">
        <v>8</v>
      </c>
      <c r="F52" s="11" t="n">
        <v>6.5</v>
      </c>
      <c r="G52" s="11" t="n">
        <v>5.5</v>
      </c>
      <c r="H52" s="11" t="n">
        <v>5</v>
      </c>
      <c r="I52" s="11" t="n">
        <v>4.8</v>
      </c>
    </row>
    <row r="53">
      <c r="A53" s="24" t="inlineStr">
        <is>
          <t>Cost of credit</t>
        </is>
      </c>
      <c r="B53" s="12" t="n">
        <v>1</v>
      </c>
      <c r="C53" s="12" t="n">
        <v>1.1</v>
      </c>
      <c r="D53" s="12" t="n">
        <v>1.1</v>
      </c>
      <c r="E53" s="12" t="n">
        <v>1.2</v>
      </c>
      <c r="F53" s="12" t="n">
        <v>1.1</v>
      </c>
      <c r="G53" s="12" t="n">
        <v>1</v>
      </c>
      <c r="H53" s="12" t="n">
        <v>1</v>
      </c>
      <c r="I53" s="12" t="n">
        <v>1</v>
      </c>
    </row>
    <row r="54">
      <c r="A54" s="24" t="inlineStr">
        <is>
          <t>Cost/income</t>
        </is>
      </c>
      <c r="B54" s="11" t="n">
        <v>43.8</v>
      </c>
      <c r="C54" s="11" t="n">
        <v>44</v>
      </c>
      <c r="D54" s="11" t="n">
        <v>44.5</v>
      </c>
      <c r="E54" s="11" t="n">
        <v>45</v>
      </c>
      <c r="F54" s="11" t="n">
        <v>45.2</v>
      </c>
      <c r="G54" s="11" t="n">
        <v>45.5</v>
      </c>
      <c r="H54" s="11" t="n">
        <v>45.8</v>
      </c>
      <c r="I54" s="11" t="n">
        <v>46</v>
      </c>
    </row>
    <row r="56">
      <c r="A56" s="23" t="inlineStr">
        <is>
          <t>ANNUAL FINANCIALS (yfinance cache)</t>
        </is>
      </c>
    </row>
    <row r="57">
      <c r="A57" s="4" t="inlineStr">
        <is>
          <t>FY</t>
        </is>
      </c>
      <c r="B57" s="33" t="inlineStr">
        <is>
          <t>FY20</t>
        </is>
      </c>
      <c r="C57" s="33" t="inlineStr">
        <is>
          <t>FY21</t>
        </is>
      </c>
      <c r="D57" s="33" t="inlineStr">
        <is>
          <t>FY22</t>
        </is>
      </c>
      <c r="E57" s="33" t="inlineStr">
        <is>
          <t>FY23</t>
        </is>
      </c>
      <c r="F57" s="33" t="inlineStr">
        <is>
          <t>FY24</t>
        </is>
      </c>
      <c r="G57" s="33" t="inlineStr">
        <is>
          <t>FY25</t>
        </is>
      </c>
    </row>
    <row r="58">
      <c r="A58" s="24" t="inlineStr">
        <is>
          <t>Net income (IDR tn)</t>
        </is>
      </c>
      <c r="B58" s="9" t="n">
        <v>3.3</v>
      </c>
      <c r="C58" s="9" t="n">
        <v>10.9</v>
      </c>
      <c r="D58" s="9" t="n">
        <v>18.3</v>
      </c>
      <c r="E58" s="9" t="n">
        <v>20.9</v>
      </c>
      <c r="F58" s="9" t="n">
        <v>21.5</v>
      </c>
      <c r="G58" s="9" t="n">
        <v>21.2</v>
      </c>
    </row>
    <row r="59">
      <c r="A59" s="24" t="inlineStr">
        <is>
          <t>Total equity (IDR tn)</t>
        </is>
      </c>
      <c r="B59" s="9" t="n">
        <v>112</v>
      </c>
      <c r="C59" s="9" t="n">
        <v>126</v>
      </c>
      <c r="D59" s="9" t="n">
        <v>136</v>
      </c>
      <c r="E59" s="9" t="n">
        <v>145</v>
      </c>
      <c r="F59" s="9" t="n">
        <v>155</v>
      </c>
      <c r="G59" s="9" t="n">
        <v>161</v>
      </c>
    </row>
    <row r="60">
      <c r="A60" s="24" t="inlineStr">
        <is>
          <t>Total assets (IDR tn)</t>
        </is>
      </c>
      <c r="B60" s="9" t="n">
        <v>891</v>
      </c>
      <c r="C60" s="9" t="n">
        <v>964</v>
      </c>
      <c r="D60" s="9" t="n">
        <v>1030</v>
      </c>
      <c r="E60" s="9" t="n">
        <v>1087</v>
      </c>
      <c r="F60" s="9" t="n">
        <v>1145</v>
      </c>
      <c r="G60" s="9" t="n">
        <v>1185</v>
      </c>
    </row>
    <row r="61">
      <c r="A61" s="24" t="inlineStr">
        <is>
          <t>EPS (IDR)</t>
        </is>
      </c>
      <c r="B61" s="8" t="n">
        <v>88.47896613668659</v>
      </c>
      <c r="C61" s="8" t="n">
        <v>292.2487063302679</v>
      </c>
      <c r="D61" s="8" t="n">
        <v>490.6560849398075</v>
      </c>
      <c r="E61" s="8" t="n">
        <v>560.3667855323484</v>
      </c>
      <c r="F61" s="8" t="n">
        <v>576.4538702844733</v>
      </c>
      <c r="G61" s="8" t="n">
        <v>568.4103279084109</v>
      </c>
    </row>
    <row r="62">
      <c r="A62" s="24" t="inlineStr">
        <is>
          <t>BVPS (IDR)</t>
        </is>
      </c>
      <c r="B62" s="8" t="n">
        <v>3002.922487063302</v>
      </c>
      <c r="C62" s="8" t="n">
        <v>3378.287797946216</v>
      </c>
      <c r="D62" s="8" t="n">
        <v>3646.405877148296</v>
      </c>
      <c r="E62" s="8" t="n">
        <v>3887.712148430169</v>
      </c>
      <c r="F62" s="8" t="n">
        <v>4155.830227632249</v>
      </c>
      <c r="G62" s="8" t="n">
        <v>4316.701075153497</v>
      </c>
    </row>
    <row r="63">
      <c r="A63" s="24" t="inlineStr">
        <is>
          <t>DPS (IDR)</t>
        </is>
      </c>
      <c r="B63" s="8" t="n">
        <v>20</v>
      </c>
      <c r="C63" s="8" t="n">
        <v>44</v>
      </c>
      <c r="D63" s="8" t="n">
        <v>98</v>
      </c>
      <c r="E63" s="8" t="n">
        <v>140</v>
      </c>
      <c r="F63" s="8" t="n">
        <v>280</v>
      </c>
      <c r="G63" s="8" t="n">
        <v>374</v>
      </c>
    </row>
    <row r="64">
      <c r="A64" s="24" t="inlineStr">
        <is>
          <t>ROE (avg equity)</t>
        </is>
      </c>
      <c r="B64" s="11" t="n">
        <v>2.784810126582279</v>
      </c>
      <c r="C64" s="11" t="n">
        <v>9.159663865546218</v>
      </c>
      <c r="D64" s="11" t="n">
        <v>13.96946564885496</v>
      </c>
      <c r="E64" s="11" t="n">
        <v>14.87544483985765</v>
      </c>
      <c r="F64" s="11" t="n">
        <v>14.33333333333333</v>
      </c>
      <c r="G64" s="11" t="n">
        <v>13.41772151898734</v>
      </c>
    </row>
    <row r="65">
      <c r="A65" s="24" t="inlineStr">
        <is>
          <t>ROA (avg assets)</t>
        </is>
      </c>
      <c r="B65" s="12" t="n">
        <v>0.380184331797235</v>
      </c>
      <c r="C65" s="12" t="n">
        <v>1.175202156334232</v>
      </c>
      <c r="D65" s="12" t="n">
        <v>1.835506519558676</v>
      </c>
      <c r="E65" s="12" t="n">
        <v>1.974492205951819</v>
      </c>
      <c r="F65" s="12" t="n">
        <v>1.926523297491039</v>
      </c>
      <c r="G65" s="12" t="n">
        <v>1.819742489270386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Sources &amp; methodology</t>
        </is>
      </c>
    </row>
    <row r="2">
      <c r="A2" s="2" t="inlineStr">
        <is>
          <t>As of 20 Jul 2026  |  SAMPLE / illustrative data — NOT for publication. Run refresh.py with live data before sharing.  |  Ricky Reinaldo | Indonesian Equity Research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2" t="inlineStr">
        <is>
          <t>*** SAMPLE DATA MODE — every figure in this workbook is illustrative. Do not publish. ***</t>
        </is>
      </c>
    </row>
    <row r="5">
      <c r="A5" s="26" t="inlineStr"/>
    </row>
    <row r="6">
      <c r="A6" s="23" t="inlineStr">
        <is>
          <t>DATA SOURCES</t>
        </is>
      </c>
    </row>
    <row r="7">
      <c r="A7" s="26" t="inlineStr">
        <is>
          <t xml:space="preserve">  Prices &amp; fundamentals: Yahoo Finance via yfinance, cached locally (data/cache/). Source tag per file: BBCA=SAMPLE_SEED, BBRI=SAMPLE_SEED, BMRI=SAMPLE_SEED, BBNI=SAMPLE_SEED</t>
        </is>
      </c>
    </row>
    <row r="8">
      <c r="A8" s="26" t="inlineStr">
        <is>
          <t xml:space="preserve">  Bank-specific ratios (NIM, CASA, NPL, CAR, loan growth, cost of credit, cost/income): manual layer transcribed from quarterly investor presentations (data/manual/&lt;TICKER&gt;.csv) — source of truth.</t>
        </is>
      </c>
    </row>
    <row r="9">
      <c r="A9" s="26" t="inlineStr">
        <is>
          <t xml:space="preserve">  Net foreign flow: BBCA=SAMPLE_SEED, BBRI=SAMPLE_SEED, BMRI=SAMPLE_SEED, BBNI=SAMPLE_SEED (manual CSV export &gt; IDX daily trading summary &gt; cache).</t>
        </is>
      </c>
    </row>
    <row r="10">
      <c r="A10" s="26" t="inlineStr">
        <is>
          <t xml:space="preserve">  Macro: data/manual/macro.csv (BI rate, USD/IDR, Indonesia 10Y).</t>
        </is>
      </c>
    </row>
    <row r="11">
      <c r="A11" s="26" t="inlineStr"/>
    </row>
    <row r="12">
      <c r="A12" s="23" t="inlineStr">
        <is>
          <t>METHODOLOGY</t>
        </is>
      </c>
    </row>
    <row r="13">
      <c r="A13" s="26" t="inlineStr">
        <is>
          <t xml:space="preserve">  Trailing multiples use last close vs latest reported fiscal year (FY25) per-share values.</t>
        </is>
      </c>
    </row>
    <row r="14">
      <c r="A14" s="26" t="inlineStr">
        <is>
          <t xml:space="preserve">  Forward P/E uses the analyst's own FY+1 EPS estimate from assumptions/&lt;TICKER&gt;.yaml — labeled 'own est.', no consensus feed.</t>
        </is>
      </c>
    </row>
    <row r="15">
      <c r="A15" s="26" t="inlineStr">
        <is>
          <t xml:space="preserve">  ROE/ROA use average of opening and closing equity/assets.</t>
        </is>
      </c>
    </row>
    <row r="16">
      <c r="A16" s="26" t="inlineStr">
        <is>
          <t xml:space="preserve">  Sector aggregates: median and market-cap-weighted mean.</t>
        </is>
      </c>
    </row>
    <row r="17">
      <c r="A17" s="26" t="inlineStr">
        <is>
          <t xml:space="preserve">  Fair values: residual income model (primary) with DDM cross-check; see per-bank tabs and assumptions/&lt;TICKER&gt;.yaml.</t>
        </is>
      </c>
    </row>
    <row r="18">
      <c r="A18" s="26" t="inlineStr"/>
    </row>
    <row r="19">
      <c r="A19" s="23" t="inlineStr">
        <is>
          <t>DISCLAIMER</t>
        </is>
      </c>
    </row>
    <row r="20">
      <c r="A20" s="26" t="inlineStr">
        <is>
          <t xml:space="preserve">  This material is independent research prepared for educational purposes. It is not investment advice, an offer, or a solicitation to buy or sell any security. Figures may contain errors; verify against primary filings.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2026-07-22T01:32:39Z</dcterms:created>
  <dcterms:modified xmlns:dcterms="http://purl.org/dc/terms/" xmlns:xsi="http://www.w3.org/2001/XMLSchema-instance" xsi:type="dcterms:W3CDTF">2026-07-22T01:32:40Z</dcterms:modified>
</cp:coreProperties>
</file>